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Dashboard" sheetId="2" r:id="rId5"/>
    <sheet state="visible" name="Entry Data" sheetId="3" r:id="rId6"/>
    <sheet state="visible" name="Database" sheetId="4" r:id="rId7"/>
    <sheet state="visible" name="Graph" sheetId="5" r:id="rId8"/>
    <sheet state="visible" name="Jadwal Kuliah" sheetId="6" r:id="rId9"/>
    <sheet state="visible" name="Kalender " sheetId="7" r:id="rId10"/>
    <sheet state="visible" name="Tracking Matkul" sheetId="8" r:id="rId11"/>
  </sheets>
  <definedNames>
    <definedName hidden="1" localSheetId="4" name="Z_15281B65_2443_49A5_8A9F_E52C8AE1D6F8_.wvu.FilterData">Graph!$H$13:$K$67</definedName>
    <definedName hidden="1" localSheetId="7" name="Z_15281B65_2443_49A5_8A9F_E52C8AE1D6F8_.wvu.FilterData">'Tracking Matkul'!$C$4:$D$5</definedName>
    <definedName name="SlicerCache_Table_8_Col_2">#N/A</definedName>
  </definedNames>
  <calcPr/>
  <customWorkbookViews>
    <customWorkbookView activeSheetId="0" maximized="1" windowHeight="0" windowWidth="0" guid="{15281B65-2443-49A5-8A9F-E52C8AE1D6F8}" name="Filter 1"/>
  </customWorkbookViews>
  <pivotCaches>
    <pivotCache cacheId="0" r:id="rId12"/>
    <pivotCache cacheId="1" r:id="rId13"/>
    <pivotCache cacheId="2" r:id="rId14"/>
  </pivotCaches>
  <extLst>
    <ext uri="{46BE6895-7355-4a93-B00E-2C351335B9C9}">
      <x15:slicerCaches>
        <x14:slicerCache r:id="rId15"/>
      </x15:slicerCaches>
    </ext>
  </extLst>
</workbook>
</file>

<file path=xl/sharedStrings.xml><?xml version="1.0" encoding="utf-8"?>
<sst xmlns="http://schemas.openxmlformats.org/spreadsheetml/2006/main" count="762" uniqueCount="267">
  <si>
    <t>HOME</t>
  </si>
  <si>
    <t>DASHBOARD</t>
  </si>
  <si>
    <t>ENTRY DATA</t>
  </si>
  <si>
    <t>DATA BASE</t>
  </si>
  <si>
    <t>GRAPH</t>
  </si>
  <si>
    <t>JADWAL</t>
  </si>
  <si>
    <t>KALENDER</t>
  </si>
  <si>
    <t>TRACKER</t>
  </si>
  <si>
    <t>*</t>
  </si>
  <si>
    <t xml:space="preserve">       *</t>
  </si>
  <si>
    <t xml:space="preserve">               *</t>
  </si>
  <si>
    <t xml:space="preserve">           *</t>
  </si>
  <si>
    <r>
      <rPr>
        <rFont val="Arial"/>
        <color rgb="FFFFFFFF"/>
      </rPr>
      <t xml:space="preserve">                           </t>
    </r>
    <r>
      <rPr>
        <rFont val="Arial"/>
        <color rgb="FFFFFFFF"/>
        <sz val="12.0"/>
      </rPr>
      <t>*</t>
    </r>
  </si>
  <si>
    <t xml:space="preserve">              *</t>
  </si>
  <si>
    <r>
      <rPr>
        <rFont val="Arial"/>
        <color rgb="FFFFFFFF"/>
      </rPr>
      <t xml:space="preserve">   </t>
    </r>
    <r>
      <rPr>
        <rFont val="Arial"/>
        <b/>
        <color rgb="FFFFFFFF"/>
        <sz val="13.0"/>
      </rPr>
      <t>*</t>
    </r>
  </si>
  <si>
    <t xml:space="preserve">         *</t>
  </si>
  <si>
    <r>
      <rPr>
        <rFont val="Arial"/>
        <color rgb="FFFFFFFF"/>
      </rPr>
      <t xml:space="preserve">           </t>
    </r>
    <r>
      <rPr>
        <rFont val="Orbitron"/>
        <color rgb="FFFFFFFF"/>
      </rPr>
      <t>*</t>
    </r>
  </si>
  <si>
    <t xml:space="preserve">        KALENDER PERKULIAHAN</t>
  </si>
  <si>
    <t xml:space="preserve">                    *</t>
  </si>
  <si>
    <t xml:space="preserve">                *</t>
  </si>
  <si>
    <t xml:space="preserve">                     *</t>
  </si>
  <si>
    <t xml:space="preserve">         _NAMA_JURUSAN</t>
  </si>
  <si>
    <r>
      <rPr>
        <rFont val="Arial"/>
        <color rgb="FFFFFFFF"/>
      </rPr>
      <t xml:space="preserve">                  </t>
    </r>
    <r>
      <rPr>
        <rFont val="Arial"/>
        <b/>
        <color rgb="FFFFFFFF"/>
        <sz val="12.0"/>
      </rPr>
      <t>*</t>
    </r>
  </si>
  <si>
    <t xml:space="preserve">              </t>
  </si>
  <si>
    <t xml:space="preserve">                        *         </t>
  </si>
  <si>
    <t xml:space="preserve">                    TAHUN 2025</t>
  </si>
  <si>
    <t xml:space="preserve">            *</t>
  </si>
  <si>
    <r>
      <rPr>
        <rFont val="Arial"/>
        <color rgb="FFFFFFFF"/>
      </rPr>
      <t xml:space="preserve">                       </t>
    </r>
    <r>
      <rPr>
        <rFont val="Arial"/>
        <color rgb="FFFFFFFF"/>
        <sz val="12.0"/>
      </rPr>
      <t>*</t>
    </r>
  </si>
  <si>
    <t xml:space="preserve">                  *</t>
  </si>
  <si>
    <t xml:space="preserve">                          *</t>
  </si>
  <si>
    <t xml:space="preserve">                        *</t>
  </si>
  <si>
    <t xml:space="preserve">               </t>
  </si>
  <si>
    <t xml:space="preserve">    *</t>
  </si>
  <si>
    <t xml:space="preserve">                      *</t>
  </si>
  <si>
    <t xml:space="preserve">             *</t>
  </si>
  <si>
    <t>Anggota Kelompok :
M. Haekal Fallah Ar-Rahman (061) 
Maydina Aulia Putri (143)
Vierico Ventora (203)</t>
  </si>
  <si>
    <t>SEMESTER AKTIF/SAAT INI :</t>
  </si>
  <si>
    <t>JADWAL KULIAH SEMESTER INI</t>
  </si>
  <si>
    <t>AGENDA PRIORITAS</t>
  </si>
  <si>
    <t>RATA RATA KEHADIRAN :</t>
  </si>
  <si>
    <t>Semester</t>
  </si>
  <si>
    <t>Mata Kuliah</t>
  </si>
  <si>
    <t>Hari</t>
  </si>
  <si>
    <t>SKS</t>
  </si>
  <si>
    <t>Waktu</t>
  </si>
  <si>
    <t>Keterangan</t>
  </si>
  <si>
    <t>Kegiatan</t>
  </si>
  <si>
    <t>Prioritas</t>
  </si>
  <si>
    <t>Deadline</t>
  </si>
  <si>
    <t>Progress</t>
  </si>
  <si>
    <t>AGENDA TERDEKAT</t>
  </si>
  <si>
    <t>Status</t>
  </si>
  <si>
    <t>PROGRESS SEMESTER :</t>
  </si>
  <si>
    <t>Jadwal akademik resmi {JAR}</t>
  </si>
  <si>
    <t>Jadwal akademik pribadi {JAP}</t>
  </si>
  <si>
    <t>Tugas &amp; Project {T&amp;P}</t>
  </si>
  <si>
    <t>Jadwal Ujian, presentasi,&amp; Praktikum {UPP}</t>
  </si>
  <si>
    <t>Agenda Pribadi {AP}</t>
  </si>
  <si>
    <t>Kategori</t>
  </si>
  <si>
    <t>Jenis Kegiatan</t>
  </si>
  <si>
    <t>Nama Kegiatan</t>
  </si>
  <si>
    <t>Tanggal</t>
  </si>
  <si>
    <t>Catatan</t>
  </si>
  <si>
    <t>Awal Semester</t>
  </si>
  <si>
    <t>Aljabar Matriks</t>
  </si>
  <si>
    <t>Pr Matdas</t>
  </si>
  <si>
    <t>Quiz Matdis</t>
  </si>
  <si>
    <t>Badminton</t>
  </si>
  <si>
    <t>Non-Akademik</t>
  </si>
  <si>
    <t>JAR, Kuliah</t>
  </si>
  <si>
    <t>Awal semester</t>
  </si>
  <si>
    <t>Lain-lain</t>
  </si>
  <si>
    <t>Selesai</t>
  </si>
  <si>
    <t>Ringan</t>
  </si>
  <si>
    <t>KRS</t>
  </si>
  <si>
    <t>Arsitektur Komputer &amp; Sistem informasi</t>
  </si>
  <si>
    <t>Project Pemdas</t>
  </si>
  <si>
    <t>Praktikum Pemdas</t>
  </si>
  <si>
    <t>Pantai</t>
  </si>
  <si>
    <t>Akademik</t>
  </si>
  <si>
    <t>Praktikum, Tugas</t>
  </si>
  <si>
    <t>Praktikum</t>
  </si>
  <si>
    <t>Revisi KRS</t>
  </si>
  <si>
    <t>Matematika Diskrit</t>
  </si>
  <si>
    <t>After Movie</t>
  </si>
  <si>
    <t>Presentasi Pancasila</t>
  </si>
  <si>
    <t>Tugas, Kegiatan Pribadi, AP</t>
  </si>
  <si>
    <t>Dalam proses</t>
  </si>
  <si>
    <t>Sedang</t>
  </si>
  <si>
    <t>UTS</t>
  </si>
  <si>
    <t>Matematika Dasar</t>
  </si>
  <si>
    <t>UI&amp;UX Design Kompetisi</t>
  </si>
  <si>
    <t>T&amp;P, Kuliah</t>
  </si>
  <si>
    <t>Video Matdis</t>
  </si>
  <si>
    <t>UAS</t>
  </si>
  <si>
    <t>Pemograman Dasar</t>
  </si>
  <si>
    <t>Soal Matdas</t>
  </si>
  <si>
    <t>Akhir Semester</t>
  </si>
  <si>
    <t>Pancasila</t>
  </si>
  <si>
    <t>UPP, Kuliah</t>
  </si>
  <si>
    <t>Kuis Pancasila</t>
  </si>
  <si>
    <t>Tinggi</t>
  </si>
  <si>
    <t>Libur Semester</t>
  </si>
  <si>
    <t>Literasi Digital</t>
  </si>
  <si>
    <t>Kuis Matdas</t>
  </si>
  <si>
    <t>Libur Resmi/Akademik</t>
  </si>
  <si>
    <t>Kegiatan Pribadi</t>
  </si>
  <si>
    <t>LKMM-TD</t>
  </si>
  <si>
    <t>Belum dimulai</t>
  </si>
  <si>
    <t>Kuis Aljabar Matriks</t>
  </si>
  <si>
    <t>PPT Akso</t>
  </si>
  <si>
    <t>Arsitektur Komputer dan Sistem Operasi</t>
  </si>
  <si>
    <t>T&amp;P, Praktikum</t>
  </si>
  <si>
    <t>Laporan Praktikum Pemdas</t>
  </si>
  <si>
    <t>Projek Pemdas</t>
  </si>
  <si>
    <t>Minggu Tenang</t>
  </si>
  <si>
    <t xml:space="preserve">                                                  *</t>
  </si>
  <si>
    <t>JAR</t>
  </si>
  <si>
    <t xml:space="preserve">                     *  </t>
  </si>
  <si>
    <t xml:space="preserve">          *</t>
  </si>
  <si>
    <t xml:space="preserve">                 *</t>
  </si>
  <si>
    <t xml:space="preserve">                                     *</t>
  </si>
  <si>
    <t xml:space="preserve">                               *</t>
  </si>
  <si>
    <t xml:space="preserve">                                              *</t>
  </si>
  <si>
    <t>Kehadiran</t>
  </si>
  <si>
    <t>Total Pertemuan</t>
  </si>
  <si>
    <t xml:space="preserve">Pertemuan Berjalan </t>
  </si>
  <si>
    <t>Tugas 1</t>
  </si>
  <si>
    <t>Quiz 1</t>
  </si>
  <si>
    <t>Tugas 2</t>
  </si>
  <si>
    <t>Quiz 2</t>
  </si>
  <si>
    <t>Tugas akhir</t>
  </si>
  <si>
    <t>Remedial</t>
  </si>
  <si>
    <t>Senin</t>
  </si>
  <si>
    <t>07.00-08.40</t>
  </si>
  <si>
    <t>Online</t>
  </si>
  <si>
    <t>Sakit</t>
  </si>
  <si>
    <t>-</t>
  </si>
  <si>
    <t>09.30-12.00</t>
  </si>
  <si>
    <t>E2.01.08</t>
  </si>
  <si>
    <t>Izin</t>
  </si>
  <si>
    <t>Selasa</t>
  </si>
  <si>
    <t>10.20-12.00</t>
  </si>
  <si>
    <t>13.00-15.30</t>
  </si>
  <si>
    <t>E2.01.07</t>
  </si>
  <si>
    <t>Rabu</t>
  </si>
  <si>
    <t>15.30-17.10</t>
  </si>
  <si>
    <t>C1.04</t>
  </si>
  <si>
    <t>Kamis</t>
  </si>
  <si>
    <t>07.00-09.30</t>
  </si>
  <si>
    <t>Jumat</t>
  </si>
  <si>
    <t>E2.01.10</t>
  </si>
  <si>
    <t>Kalkulus Lanjut</t>
  </si>
  <si>
    <t>Struktur Data dan Algoritma</t>
  </si>
  <si>
    <t>Pendidikan Kewarganegaraan</t>
  </si>
  <si>
    <t>Pendidikan Agama</t>
  </si>
  <si>
    <t>Konservasi Sumber Daya Alam dan Lingkungan</t>
  </si>
  <si>
    <t>Teori Probabilitas</t>
  </si>
  <si>
    <t>Interaksi Manusia dan Komputer</t>
  </si>
  <si>
    <t>Etika Kecerdasan Artifisial</t>
  </si>
  <si>
    <t>Statistika Inferensial</t>
  </si>
  <si>
    <t>Kecerdasan Artifisial</t>
  </si>
  <si>
    <t>Keamanan dan Integritas Data</t>
  </si>
  <si>
    <t>Pemrosesan Teks</t>
  </si>
  <si>
    <t>Basis Data</t>
  </si>
  <si>
    <t>Desain dan Analisis Algoritma</t>
  </si>
  <si>
    <t>Pengolahan Sinyal Digital</t>
  </si>
  <si>
    <t>Bahasa Indonesia</t>
  </si>
  <si>
    <t>Penambangan Data</t>
  </si>
  <si>
    <t>Data Warehouse dan Komputasi Terdistribusi</t>
  </si>
  <si>
    <t>Pengolahan Citra Digital</t>
  </si>
  <si>
    <t>Analisis Multivariat</t>
  </si>
  <si>
    <t>Pembelajaran Mesin Dasar</t>
  </si>
  <si>
    <t>Rekayasa Perangkat Lunak</t>
  </si>
  <si>
    <t>Pendidikan Jasmani dan Kebugaran</t>
  </si>
  <si>
    <t>Tata Tulis Ilmiah</t>
  </si>
  <si>
    <t>Komunikasi Publik</t>
  </si>
  <si>
    <t>Kewirausahaan</t>
  </si>
  <si>
    <t>Pilihan 3</t>
  </si>
  <si>
    <t>Pilihan 4</t>
  </si>
  <si>
    <t>Pilihan 5</t>
  </si>
  <si>
    <t>Pilihan 6</t>
  </si>
  <si>
    <t>Creative Thinking</t>
  </si>
  <si>
    <t>Bahasa Inggris</t>
  </si>
  <si>
    <t>Manajemen Risiko</t>
  </si>
  <si>
    <t>Pilihan 7</t>
  </si>
  <si>
    <t>Etika Profesi</t>
  </si>
  <si>
    <t>Kecerdasan Bisnis</t>
  </si>
  <si>
    <t>SIM</t>
  </si>
  <si>
    <t>Manajemen Proyek</t>
  </si>
  <si>
    <t>Pilihan 8</t>
  </si>
  <si>
    <t>Pembelajaran Mesin Lanjut</t>
  </si>
  <si>
    <t>Analisis Big Data</t>
  </si>
  <si>
    <t>Graf Sains Data</t>
  </si>
  <si>
    <t>Pilihan 1</t>
  </si>
  <si>
    <t>Pilihan 2</t>
  </si>
  <si>
    <t>Proposal Tugas Akhir</t>
  </si>
  <si>
    <t>Tugas Akhir</t>
  </si>
  <si>
    <r>
      <rPr>
        <rFont val="Arial"/>
        <color rgb="FFFFFFFF"/>
      </rPr>
      <t xml:space="preserve">           </t>
    </r>
    <r>
      <rPr>
        <rFont val="Orbitron"/>
        <color rgb="FFFFFFFF"/>
      </rPr>
      <t>*</t>
    </r>
  </si>
  <si>
    <t xml:space="preserve">   </t>
  </si>
  <si>
    <t>COUNTA of Status</t>
  </si>
  <si>
    <t xml:space="preserve">                         *</t>
  </si>
  <si>
    <t xml:space="preserve">     *</t>
  </si>
  <si>
    <t>COUNTA of Prioritas</t>
  </si>
  <si>
    <t>COUNTA of Mata Kuliah</t>
  </si>
  <si>
    <t>Grand Total</t>
  </si>
  <si>
    <t>Year:</t>
  </si>
  <si>
    <t>Month:</t>
  </si>
  <si>
    <t>Start Day</t>
  </si>
  <si>
    <t>Kalender Akademik UNESA</t>
  </si>
  <si>
    <t>Tahun 2025/2026</t>
  </si>
  <si>
    <t>Jul. 1-21</t>
  </si>
  <si>
    <t xml:space="preserve"> Permohonan Pindah/Mutasi internal Unesa</t>
  </si>
  <si>
    <t>Jul. 15-30</t>
  </si>
  <si>
    <t xml:space="preserve"> Persetujuan Pindah/Mutasi internal Unesa</t>
  </si>
  <si>
    <t>Jul. 21-31</t>
  </si>
  <si>
    <t xml:space="preserve">Masa Pengajuan Cuti </t>
  </si>
  <si>
    <t>Jul. 14-31</t>
  </si>
  <si>
    <t>Pembayaran SPP/UKT mahasiswa lama</t>
  </si>
  <si>
    <t>Batas Akhir Ujian : Tugas Akhir, Skripsi, Disertasi</t>
  </si>
  <si>
    <t>Aug. 1-8</t>
  </si>
  <si>
    <t>Unggah Jadwal Kuliah dan RPS</t>
  </si>
  <si>
    <t>Aug. 11-20</t>
  </si>
  <si>
    <t>Evaluasi Hasil Studi mahasiswa</t>
  </si>
  <si>
    <t>Aug. 11-15</t>
  </si>
  <si>
    <t>Kepenasihatan dan KRS mahasiswa lama</t>
  </si>
  <si>
    <t>Jul. 29-31</t>
  </si>
  <si>
    <t xml:space="preserve">Masa Persetujuan Cuti </t>
  </si>
  <si>
    <t>Aug. 18-22</t>
  </si>
  <si>
    <t>Pengenalan Kehidupan (PKKMB)</t>
  </si>
  <si>
    <t>Aug. 20-22</t>
  </si>
  <si>
    <t>Kepenasihatan dan KRS mahasiswa baru</t>
  </si>
  <si>
    <t>Aug. 25-Oct. 10</t>
  </si>
  <si>
    <t>Masa kuliah Semester Gasal dan Genap ke-1</t>
  </si>
  <si>
    <t>Sept.16</t>
  </si>
  <si>
    <t>Pelaporan Kontrak Belajar Mahasiswa</t>
  </si>
  <si>
    <t>Oct. 13-17</t>
  </si>
  <si>
    <t>Penilaian Formatif</t>
  </si>
  <si>
    <t>Oct. 20-24</t>
  </si>
  <si>
    <t>Monitoring Studi mahasiswa</t>
  </si>
  <si>
    <t>Oct. 20-Dec. 5</t>
  </si>
  <si>
    <t>Masa kuliah Semester Gasal ke-2</t>
  </si>
  <si>
    <t>Dec. 8-12</t>
  </si>
  <si>
    <t>Dec. 15-26</t>
  </si>
  <si>
    <t>Penilaian Sumatif</t>
  </si>
  <si>
    <t>Dec20-Jan10</t>
  </si>
  <si>
    <t xml:space="preserve">Entry Nilai </t>
  </si>
  <si>
    <t>Nilai Tugas Akhir dan Pelaporan Hasil Kelulusan PDDIKTI</t>
  </si>
  <si>
    <t>Jan. 5-10</t>
  </si>
  <si>
    <t>Pendaftaran Alih Jenjang Calon Mahasiswa</t>
  </si>
  <si>
    <t>Tes Alih Jenjang D3 ke S1</t>
  </si>
  <si>
    <t>Pengumuman Hasil Seleksi Alih Jenjang</t>
  </si>
  <si>
    <t>Jan. 16-20</t>
  </si>
  <si>
    <t>Daftar Ulang Mahasiswa Alih Jenjang</t>
  </si>
  <si>
    <t>Jan. 20-22</t>
  </si>
  <si>
    <t>Pembayaran UKT dan SPI Mahasiswa Alih Jenjang</t>
  </si>
  <si>
    <t>Jan. 26-30</t>
  </si>
  <si>
    <t>Kepenasihatan dan KRS mahasiswa Alih Jenjang</t>
  </si>
  <si>
    <t>Jan. 1-12</t>
  </si>
  <si>
    <t>Jan. 13-17</t>
  </si>
  <si>
    <t>Jan. 19-31</t>
  </si>
  <si>
    <t>Jan. 13-31</t>
  </si>
  <si>
    <t>Jan. 11-17</t>
  </si>
  <si>
    <t>Jan. 20-24</t>
  </si>
  <si>
    <t>Jan. 29-31</t>
  </si>
  <si>
    <t>Matkul</t>
  </si>
  <si>
    <t>Uas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</si>
</sst>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mmm\ \'yy"/>
    <numFmt numFmtId="166" formatCode="M/d/yyyy"/>
    <numFmt numFmtId="167" formatCode="d"/>
  </numFmts>
  <fonts count="57">
    <font>
      <sz val="10.0"/>
      <color rgb="FF000000"/>
      <name val="Arial"/>
      <scheme val="minor"/>
    </font>
    <font>
      <u/>
      <sz val="10.0"/>
      <color rgb="FF0097A7"/>
      <name val="Orbitron"/>
    </font>
    <font>
      <u/>
      <sz val="10.0"/>
      <color rgb="FF0000FF"/>
      <name val="Orbitron"/>
    </font>
    <font>
      <u/>
      <sz val="10.0"/>
      <color rgb="FF0000FF"/>
      <name val="Orbitron"/>
    </font>
    <font>
      <color rgb="FFFFFFFF"/>
      <name val="Orbitron"/>
    </font>
    <font>
      <color rgb="FFFFFFFF"/>
      <name val="Arial"/>
      <scheme val="minor"/>
    </font>
    <font>
      <sz val="13.0"/>
      <color rgb="FFFFFFFF"/>
      <name val="Arial"/>
      <scheme val="minor"/>
    </font>
    <font>
      <color theme="0"/>
      <name val="Orbitron"/>
    </font>
    <font>
      <sz val="12.0"/>
      <color rgb="FFFFFFFF"/>
      <name val="Orbitron"/>
    </font>
    <font>
      <color theme="0"/>
      <name val="Arial"/>
      <scheme val="minor"/>
    </font>
    <font>
      <sz val="16.0"/>
      <color rgb="FF7B2CBF"/>
      <name val="Orbitron"/>
    </font>
    <font>
      <sz val="16.0"/>
      <color theme="1"/>
      <name val="Orbitron"/>
    </font>
    <font>
      <color theme="1"/>
      <name val="Arial"/>
      <scheme val="minor"/>
    </font>
    <font>
      <b/>
      <color rgb="FFFFFFFF"/>
      <name val="Orbitron"/>
    </font>
    <font>
      <sz val="14.0"/>
      <color rgb="FFB0AFFF"/>
      <name val="Exo 2"/>
    </font>
    <font>
      <sz val="10.0"/>
      <color rgb="FFE6E6FF"/>
      <name val="Poppins"/>
    </font>
    <font>
      <color rgb="FFF6F8F9"/>
      <name val="Orbitron"/>
    </font>
    <font>
      <color rgb="FFB0AFFF"/>
      <name val="Orbitron"/>
    </font>
    <font>
      <color rgb="FFB0AFFF"/>
      <name val="Arial"/>
      <scheme val="minor"/>
    </font>
    <font>
      <color rgb="FFFFFFFF"/>
      <name val="Arial"/>
    </font>
    <font>
      <color rgb="FFB0AFFF"/>
      <name val="Arial"/>
    </font>
    <font>
      <sz val="11.0"/>
      <color rgb="FFFFFFFF"/>
      <name val="Arial"/>
      <scheme val="minor"/>
    </font>
    <font/>
    <font>
      <color theme="1"/>
      <name val="Exo 2"/>
    </font>
    <font>
      <sz val="29.0"/>
      <color rgb="FFFFFFFF"/>
      <name val="Arial"/>
      <scheme val="minor"/>
    </font>
    <font>
      <color rgb="FFFFFFFF"/>
      <name val="Exo 2"/>
    </font>
    <font>
      <sz val="9.0"/>
      <color rgb="FFFFFFFF"/>
      <name val="Google Sans Mono"/>
    </font>
    <font>
      <color rgb="FFE9E9F9"/>
      <name val="Exo 2"/>
    </font>
    <font>
      <u/>
      <sz val="10.0"/>
      <color rgb="FF0097A7"/>
      <name val="Orbitron"/>
    </font>
    <font>
      <u/>
      <sz val="10.0"/>
      <color rgb="FF0000FF"/>
      <name val="Orbitron"/>
    </font>
    <font>
      <u/>
      <sz val="10.0"/>
      <color rgb="FF0000FF"/>
      <name val="Orbitron"/>
    </font>
    <font>
      <color theme="1"/>
      <name val="Arial"/>
    </font>
    <font>
      <color rgb="FFF6F8F9"/>
      <name val="Exo 2"/>
    </font>
    <font>
      <color rgb="FF1E1E36"/>
      <name val="Orbitron"/>
    </font>
    <font>
      <color rgb="FF1E1E36"/>
      <name val="Exo 2"/>
    </font>
    <font>
      <color rgb="FF32305E"/>
      <name val="Orbitron"/>
    </font>
    <font>
      <color rgb="FF4A2F8A"/>
      <name val="Orbitron"/>
    </font>
    <font>
      <color rgb="FF6E35A0"/>
      <name val="Orbitron"/>
    </font>
    <font>
      <color rgb="FFA740C8"/>
      <name val="Arial"/>
      <scheme val="minor"/>
    </font>
    <font>
      <color rgb="FFE070E0"/>
      <name val="Orbitron"/>
    </font>
    <font>
      <sz val="10.0"/>
      <color theme="1"/>
      <name val="Orbitron"/>
    </font>
    <font>
      <color theme="1"/>
      <name val="Orbitron"/>
    </font>
    <font>
      <sz val="10.0"/>
      <color rgb="FFFFFFFF"/>
      <name val="Orbitron"/>
    </font>
    <font>
      <sz val="8.0"/>
      <color rgb="FFFFFFFF"/>
      <name val="Orbitron"/>
    </font>
    <font>
      <i/>
      <sz val="8.0"/>
      <color theme="1"/>
      <name val="Orbitron"/>
    </font>
    <font>
      <sz val="8.0"/>
      <color theme="1"/>
      <name val="Orbitron"/>
    </font>
    <font>
      <b/>
      <sz val="19.0"/>
      <color rgb="FFFFFFFF"/>
      <name val="Orbitron"/>
    </font>
    <font>
      <b/>
      <sz val="32.0"/>
      <color rgb="FFFFFFFF"/>
      <name val="Orbitron"/>
    </font>
    <font>
      <b/>
      <sz val="15.0"/>
      <color rgb="FFFFFFFF"/>
      <name val="Orbitron"/>
    </font>
    <font>
      <b/>
      <sz val="12.0"/>
      <color theme="0"/>
      <name val="Orbitron"/>
    </font>
    <font>
      <b/>
      <sz val="10.0"/>
      <color theme="1"/>
      <name val="Orbitron"/>
    </font>
    <font>
      <sz val="9.0"/>
      <color rgb="FFFFFFFF"/>
      <name val="Orbitron"/>
    </font>
    <font>
      <sz val="9.0"/>
      <color theme="1"/>
      <name val="Orbitron"/>
    </font>
    <font>
      <sz val="9.0"/>
      <color theme="0"/>
      <name val="Orbitron"/>
    </font>
    <font>
      <sz val="8.0"/>
      <color rgb="FFFAFAFA"/>
      <name val="Orbitron"/>
    </font>
    <font>
      <u/>
      <sz val="8.0"/>
      <color rgb="FF7F7F7F"/>
      <name val="Orbitron"/>
    </font>
    <font>
      <sz val="8.0"/>
      <color rgb="FF7F7F7F"/>
      <name val="Orbitron"/>
    </font>
  </fonts>
  <fills count="49">
    <fill>
      <patternFill patternType="none"/>
    </fill>
    <fill>
      <patternFill patternType="lightGray"/>
    </fill>
    <fill>
      <patternFill patternType="solid">
        <fgColor rgb="FF0B132B"/>
        <bgColor rgb="FF0B132B"/>
      </patternFill>
    </fill>
    <fill>
      <patternFill patternType="solid">
        <fgColor rgb="FF1E1E36"/>
        <bgColor rgb="FF1E1E36"/>
      </patternFill>
    </fill>
    <fill>
      <patternFill patternType="solid">
        <fgColor rgb="FF1B1E3F"/>
        <bgColor rgb="FF1B1E3F"/>
      </patternFill>
    </fill>
    <fill>
      <patternFill patternType="solid">
        <fgColor rgb="FF32305E"/>
        <bgColor rgb="FF32305E"/>
      </patternFill>
    </fill>
    <fill>
      <patternFill patternType="solid">
        <fgColor rgb="FF4A2F8A"/>
        <bgColor rgb="FF4A2F8A"/>
      </patternFill>
    </fill>
    <fill>
      <patternFill patternType="solid">
        <fgColor rgb="FF6E35A0"/>
        <bgColor rgb="FF6E35A0"/>
      </patternFill>
    </fill>
    <fill>
      <patternFill patternType="solid">
        <fgColor rgb="FFA740C8"/>
        <bgColor rgb="FFA740C8"/>
      </patternFill>
    </fill>
    <fill>
      <patternFill patternType="solid">
        <fgColor rgb="FF1E1E3F"/>
        <bgColor rgb="FF1E1E3F"/>
      </patternFill>
    </fill>
    <fill>
      <patternFill patternType="solid">
        <fgColor rgb="FF1C1A5B"/>
        <bgColor rgb="FF1C1A5B"/>
      </patternFill>
    </fill>
    <fill>
      <patternFill patternType="solid">
        <fgColor rgb="FF3A0CA3"/>
        <bgColor rgb="FF3A0CA3"/>
      </patternFill>
    </fill>
    <fill>
      <patternFill patternType="solid">
        <fgColor rgb="FF6A0FB8"/>
        <bgColor rgb="FF6A0FB8"/>
      </patternFill>
    </fill>
    <fill>
      <patternFill patternType="solid">
        <fgColor rgb="FFA61E8C"/>
        <bgColor rgb="FFA61E8C"/>
      </patternFill>
    </fill>
    <fill>
      <patternFill patternType="solid">
        <fgColor rgb="FFF72585"/>
        <bgColor rgb="FFF72585"/>
      </patternFill>
    </fill>
    <fill>
      <patternFill patternType="solid">
        <fgColor rgb="FFE070E0"/>
        <bgColor rgb="FFE070E0"/>
      </patternFill>
    </fill>
    <fill>
      <patternFill patternType="solid">
        <fgColor rgb="FF0C002B"/>
        <bgColor rgb="FF0C002B"/>
      </patternFill>
    </fill>
    <fill>
      <patternFill patternType="solid">
        <fgColor rgb="FF0A0129"/>
        <bgColor rgb="FF0A0129"/>
      </patternFill>
    </fill>
    <fill>
      <patternFill patternType="solid">
        <fgColor theme="8"/>
        <bgColor theme="8"/>
      </patternFill>
    </fill>
    <fill>
      <patternFill patternType="solid">
        <fgColor rgb="FF2B4575"/>
        <bgColor rgb="FF2B4575"/>
      </patternFill>
    </fill>
    <fill>
      <patternFill patternType="solid">
        <fgColor rgb="FF150038"/>
        <bgColor rgb="FF150038"/>
      </patternFill>
    </fill>
    <fill>
      <patternFill patternType="solid">
        <fgColor rgb="FF200046"/>
        <bgColor rgb="FF200046"/>
      </patternFill>
    </fill>
    <fill>
      <patternFill patternType="solid">
        <fgColor rgb="FF7D9ACE"/>
        <bgColor rgb="FF7D9ACE"/>
      </patternFill>
    </fill>
    <fill>
      <patternFill patternType="solid">
        <fgColor theme="0"/>
        <bgColor theme="0"/>
      </patternFill>
    </fill>
    <fill>
      <patternFill patternType="solid">
        <fgColor rgb="FFF6F8F9"/>
        <bgColor rgb="FFF6F8F9"/>
      </patternFill>
    </fill>
    <fill>
      <patternFill patternType="solid">
        <fgColor rgb="FF30045A"/>
        <bgColor rgb="FF30045A"/>
      </patternFill>
    </fill>
    <fill>
      <patternFill patternType="solid">
        <fgColor rgb="FF42116F"/>
        <bgColor rgb="FF42116F"/>
      </patternFill>
    </fill>
    <fill>
      <patternFill patternType="solid">
        <fgColor rgb="FF532285"/>
        <bgColor rgb="FF532285"/>
      </patternFill>
    </fill>
    <fill>
      <patternFill patternType="solid">
        <fgColor rgb="FF5B1EA0"/>
        <bgColor rgb="FF5B1EA0"/>
      </patternFill>
    </fill>
    <fill>
      <patternFill patternType="solid">
        <fgColor rgb="FF6D36B4"/>
        <bgColor rgb="FF6D36B4"/>
      </patternFill>
    </fill>
    <fill>
      <patternFill patternType="solid">
        <fgColor rgb="FF7F50C5"/>
        <bgColor rgb="FF7F50C5"/>
      </patternFill>
    </fill>
    <fill>
      <patternFill patternType="solid">
        <fgColor rgb="FF8A51C7"/>
        <bgColor rgb="FF8A51C7"/>
      </patternFill>
    </fill>
    <fill>
      <patternFill patternType="solid">
        <fgColor rgb="FF9F6FDA"/>
        <bgColor rgb="FF9F6FDA"/>
      </patternFill>
    </fill>
    <fill>
      <patternFill patternType="solid">
        <fgColor rgb="FFFFFFFF"/>
        <bgColor rgb="FFFFFFFF"/>
      </patternFill>
    </fill>
    <fill>
      <patternFill patternType="solid">
        <fgColor rgb="FFB48DE5"/>
        <bgColor rgb="FFB48DE5"/>
      </patternFill>
    </fill>
    <fill>
      <patternFill patternType="solid">
        <fgColor rgb="FFD2B6F3"/>
        <bgColor rgb="FFD2B6F3"/>
      </patternFill>
    </fill>
    <fill>
      <patternFill patternType="solid">
        <fgColor rgb="FFEAD5FA"/>
        <bgColor rgb="FFEAD5FA"/>
      </patternFill>
    </fill>
    <fill>
      <patternFill patternType="solid">
        <fgColor rgb="FFF6E8FF"/>
        <bgColor rgb="FFF6E8FF"/>
      </patternFill>
    </fill>
    <fill>
      <patternFill patternType="solid">
        <fgColor rgb="FF000814"/>
        <bgColor rgb="FF000814"/>
      </patternFill>
    </fill>
    <fill>
      <patternFill patternType="solid">
        <fgColor rgb="FF0D1322"/>
        <bgColor rgb="FF0D1322"/>
      </patternFill>
    </fill>
    <fill>
      <patternFill patternType="solid">
        <fgColor rgb="FF14202F"/>
        <bgColor rgb="FF14202F"/>
      </patternFill>
    </fill>
    <fill>
      <patternFill patternType="solid">
        <fgColor rgb="FF1B263B"/>
        <bgColor rgb="FF1B263B"/>
      </patternFill>
    </fill>
    <fill>
      <patternFill patternType="solid">
        <fgColor rgb="FF283147"/>
        <bgColor rgb="FF283147"/>
      </patternFill>
    </fill>
    <fill>
      <patternFill patternType="solid">
        <fgColor rgb="FF243149"/>
        <bgColor rgb="FF243149"/>
      </patternFill>
    </fill>
    <fill>
      <patternFill patternType="solid">
        <fgColor rgb="FF394A65"/>
        <bgColor rgb="FF394A65"/>
      </patternFill>
    </fill>
    <fill>
      <patternFill patternType="solid">
        <fgColor rgb="FF415A77"/>
        <bgColor rgb="FF415A77"/>
      </patternFill>
    </fill>
    <fill>
      <patternFill patternType="solid">
        <fgColor rgb="FF556C8A"/>
        <bgColor rgb="FF556C8A"/>
      </patternFill>
    </fill>
    <fill>
      <patternFill patternType="solid">
        <fgColor rgb="FF6A7FA0"/>
        <bgColor rgb="FF6A7FA0"/>
      </patternFill>
    </fill>
    <fill>
      <patternFill patternType="solid">
        <fgColor rgb="FF7B8FB2"/>
        <bgColor rgb="FF7B8FB2"/>
      </patternFill>
    </fill>
  </fills>
  <borders count="34">
    <border/>
    <border>
      <left style="thick">
        <color rgb="FFFFFFFF"/>
      </left>
      <right style="thick">
        <color rgb="FFFFFFFF"/>
      </right>
      <top style="thick">
        <color rgb="FFFFFFFF"/>
      </top>
      <bottom style="thick">
        <color rgb="FFFFFFFF"/>
      </bottom>
    </border>
    <border>
      <left style="thick">
        <color rgb="FFFFFFFF"/>
      </left>
      <top style="thick">
        <color rgb="FFFFFFFF"/>
      </top>
      <bottom style="thick">
        <color rgb="FFFFFFFF"/>
      </bottom>
    </border>
    <border>
      <left style="thick">
        <color rgb="FF7B2CBF"/>
      </left>
      <top style="thick">
        <color rgb="FF7B2CBF"/>
      </top>
    </border>
    <border>
      <top style="thick">
        <color rgb="FF7B2CBF"/>
      </top>
    </border>
    <border>
      <right style="thick">
        <color rgb="FF7B2CBF"/>
      </right>
      <top style="thick">
        <color rgb="FF7B2CBF"/>
      </top>
    </border>
    <border>
      <left style="thick">
        <color rgb="FF7B2CBF"/>
      </left>
    </border>
    <border>
      <right style="thick">
        <color rgb="FF7B2CBF"/>
      </right>
    </border>
    <border>
      <left style="thick">
        <color rgb="FF7B2CBF"/>
      </left>
      <bottom style="thick">
        <color rgb="FF7B2CBF"/>
      </bottom>
    </border>
    <border>
      <bottom style="thick">
        <color rgb="FF7B2CBF"/>
      </bottom>
    </border>
    <border>
      <right style="thick">
        <color rgb="FF7B2CBF"/>
      </right>
      <bottom style="thick">
        <color rgb="FF7B2CBF"/>
      </bottom>
    </border>
    <border>
      <left style="thick">
        <color rgb="FF6C63A2"/>
      </left>
      <top style="thick">
        <color rgb="FF6C63A2"/>
      </top>
    </border>
    <border>
      <top style="thick">
        <color rgb="FF6C63A2"/>
      </top>
    </border>
    <border>
      <right style="thick">
        <color rgb="FF6C63A2"/>
      </right>
      <top style="thick">
        <color rgb="FF6C63A2"/>
      </top>
    </border>
    <border>
      <left style="thick">
        <color rgb="FF6C63A2"/>
      </left>
      <right style="thick">
        <color rgb="FF6C63A2"/>
      </right>
      <top style="thick">
        <color rgb="FF6C63A2"/>
      </top>
      <bottom style="thick">
        <color rgb="FF6C63A2"/>
      </bottom>
    </border>
    <border>
      <left style="thick">
        <color rgb="FF6C63A2"/>
      </left>
    </border>
    <border>
      <right style="thick">
        <color rgb="FF6C63A2"/>
      </right>
    </border>
    <border>
      <left style="thick">
        <color rgb="FF6C63A2"/>
      </left>
      <bottom style="thick">
        <color rgb="FF6C63A2"/>
      </bottom>
    </border>
    <border>
      <bottom style="thick">
        <color rgb="FF6C63A2"/>
      </bottom>
    </border>
    <border>
      <right style="thick">
        <color rgb="FF6C63A2"/>
      </right>
      <bottom style="thick">
        <color rgb="FF6C63A2"/>
      </bottom>
    </border>
    <border>
      <left style="thick">
        <color rgb="FF4E4B8A"/>
      </left>
      <right style="thick">
        <color rgb="FF4E4B8A"/>
      </right>
      <top style="thick">
        <color rgb="FF4E4B8A"/>
      </top>
      <bottom style="thick">
        <color rgb="FF4E4B8A"/>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2B4575"/>
      </left>
      <top/>
      <bottom/>
    </border>
    <border>
      <top/>
      <bottom/>
    </border>
    <border>
      <right style="thin">
        <color rgb="FF2B4575"/>
      </right>
      <top/>
      <bottom/>
    </border>
    <border>
      <bottom style="hair">
        <color rgb="FF7F7F7F"/>
      </bottom>
    </border>
    <border>
      <top style="hair">
        <color rgb="FF7F7F7F"/>
      </top>
      <bottom style="hair">
        <color rgb="FF7F7F7F"/>
      </bottom>
    </border>
    <border>
      <left style="thin">
        <color rgb="FF7D9ACE"/>
      </left>
      <right/>
      <top/>
      <bottom/>
    </border>
    <border>
      <left/>
      <right style="thin">
        <color rgb="FF7D9ACE"/>
      </right>
      <top/>
      <bottom/>
    </border>
    <border>
      <left style="thin">
        <color rgb="FFA8BCDE"/>
      </left>
      <right style="thin">
        <color rgb="FFA8BCDE"/>
      </right>
      <top style="thin">
        <color rgb="FFA8BCDE"/>
      </top>
      <bottom style="thin">
        <color rgb="FFA8BCDE"/>
      </bottom>
    </border>
    <border>
      <left style="thick">
        <color rgb="FF000000"/>
      </left>
      <right style="thick">
        <color rgb="FF000000"/>
      </right>
      <top style="thick">
        <color rgb="FF000000"/>
      </top>
    </border>
  </borders>
  <cellStyleXfs count="1">
    <xf borderId="0" fillId="0" fontId="0" numFmtId="0" applyAlignment="1" applyFont="1"/>
  </cellStyleXfs>
  <cellXfs count="32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2" numFmtId="0" xfId="0" applyAlignment="1" applyBorder="1" applyFont="1">
      <alignment horizontal="center" readingOrder="0" vertical="center"/>
    </xf>
    <xf borderId="2" fillId="2" fontId="3" numFmtId="0" xfId="0" applyAlignment="1" applyBorder="1" applyFont="1">
      <alignment horizontal="center" readingOrder="0" vertical="center"/>
    </xf>
    <xf borderId="0" fillId="2" fontId="4" numFmtId="0" xfId="0" applyFont="1"/>
    <xf borderId="0" fillId="2" fontId="5" numFmtId="0" xfId="0" applyFont="1"/>
    <xf borderId="0" fillId="2" fontId="5" numFmtId="0" xfId="0" applyAlignment="1" applyFont="1">
      <alignment readingOrder="0"/>
    </xf>
    <xf borderId="0" fillId="3" fontId="5" numFmtId="0" xfId="0" applyFill="1" applyFont="1"/>
    <xf borderId="0" fillId="3" fontId="5" numFmtId="0" xfId="0" applyAlignment="1" applyFont="1">
      <alignment readingOrder="0"/>
    </xf>
    <xf borderId="0" fillId="3" fontId="4" numFmtId="0" xfId="0" applyFont="1"/>
    <xf borderId="0" fillId="3" fontId="6" numFmtId="0" xfId="0" applyAlignment="1" applyFont="1">
      <alignment readingOrder="0"/>
    </xf>
    <xf borderId="3" fillId="4" fontId="7" numFmtId="0" xfId="0" applyBorder="1" applyFill="1" applyFont="1"/>
    <xf borderId="4" fillId="4" fontId="7" numFmtId="0" xfId="0" applyBorder="1" applyFont="1"/>
    <xf borderId="5" fillId="4" fontId="8" numFmtId="0" xfId="0" applyAlignment="1" applyBorder="1" applyFont="1">
      <alignment readingOrder="0"/>
    </xf>
    <xf borderId="0" fillId="5" fontId="5" numFmtId="0" xfId="0" applyFill="1" applyFont="1"/>
    <xf borderId="6" fillId="4" fontId="7" numFmtId="0" xfId="0" applyBorder="1" applyFont="1"/>
    <xf borderId="0" fillId="4" fontId="7" numFmtId="0" xfId="0" applyFont="1"/>
    <xf borderId="0" fillId="4" fontId="4" numFmtId="0" xfId="0" applyAlignment="1" applyFont="1">
      <alignment readingOrder="0"/>
    </xf>
    <xf borderId="7" fillId="4" fontId="7" numFmtId="0" xfId="0" applyBorder="1" applyFont="1"/>
    <xf borderId="0" fillId="5" fontId="5" numFmtId="0" xfId="0" applyAlignment="1" applyFont="1">
      <alignment readingOrder="0"/>
    </xf>
    <xf borderId="6" fillId="4" fontId="9" numFmtId="0" xfId="0" applyAlignment="1" applyBorder="1" applyFont="1">
      <alignment readingOrder="0"/>
    </xf>
    <xf borderId="0" fillId="4" fontId="10" numFmtId="0" xfId="0" applyAlignment="1" applyFont="1">
      <alignment horizontal="left" readingOrder="0"/>
    </xf>
    <xf borderId="0" fillId="4" fontId="11" numFmtId="0" xfId="0" applyAlignment="1" applyFont="1">
      <alignment horizontal="left" readingOrder="0"/>
    </xf>
    <xf borderId="0" fillId="4" fontId="12" numFmtId="0" xfId="0" applyFont="1"/>
    <xf borderId="7" fillId="4" fontId="12" numFmtId="0" xfId="0" applyBorder="1" applyFont="1"/>
    <xf borderId="0" fillId="5" fontId="6" numFmtId="0" xfId="0" applyAlignment="1" applyFont="1">
      <alignment readingOrder="0"/>
    </xf>
    <xf borderId="6" fillId="4" fontId="9" numFmtId="0" xfId="0" applyBorder="1" applyFont="1"/>
    <xf borderId="0" fillId="4" fontId="13" numFmtId="0" xfId="0" applyAlignment="1" applyFont="1">
      <alignment readingOrder="0"/>
    </xf>
    <xf borderId="0" fillId="4" fontId="14" numFmtId="0" xfId="0" applyAlignment="1" applyFont="1">
      <alignment readingOrder="0"/>
    </xf>
    <xf borderId="6" fillId="4" fontId="5" numFmtId="0" xfId="0" applyAlignment="1" applyBorder="1" applyFont="1">
      <alignment readingOrder="0"/>
    </xf>
    <xf borderId="0" fillId="4" fontId="15" numFmtId="0" xfId="0" applyAlignment="1" applyFont="1">
      <alignment readingOrder="0"/>
    </xf>
    <xf borderId="0" fillId="6" fontId="5" numFmtId="0" xfId="0" applyFill="1" applyFont="1"/>
    <xf borderId="6" fillId="4" fontId="16" numFmtId="0" xfId="0" applyAlignment="1" applyBorder="1" applyFont="1">
      <alignment readingOrder="0"/>
    </xf>
    <xf borderId="0" fillId="4" fontId="16" numFmtId="0" xfId="0" applyFont="1"/>
    <xf borderId="7" fillId="4" fontId="16" numFmtId="0" xfId="0" applyAlignment="1" applyBorder="1" applyFont="1">
      <alignment readingOrder="0"/>
    </xf>
    <xf borderId="0" fillId="6" fontId="5" numFmtId="0" xfId="0" applyAlignment="1" applyFont="1">
      <alignment readingOrder="0"/>
    </xf>
    <xf borderId="6" fillId="4" fontId="16" numFmtId="0" xfId="0" applyBorder="1" applyFont="1"/>
    <xf borderId="0" fillId="4" fontId="16" numFmtId="0" xfId="0" applyAlignment="1" applyFont="1">
      <alignment readingOrder="0"/>
    </xf>
    <xf borderId="7" fillId="4" fontId="16" numFmtId="0" xfId="0" applyBorder="1" applyFont="1"/>
    <xf borderId="0" fillId="7" fontId="5" numFmtId="0" xfId="0" applyFill="1" applyFont="1"/>
    <xf borderId="0" fillId="7" fontId="5" numFmtId="0" xfId="0" applyAlignment="1" applyFont="1">
      <alignment readingOrder="0"/>
    </xf>
    <xf borderId="8" fillId="4" fontId="16" numFmtId="0" xfId="0" applyBorder="1" applyFont="1"/>
    <xf borderId="9" fillId="4" fontId="16" numFmtId="0" xfId="0" applyAlignment="1" applyBorder="1" applyFont="1">
      <alignment readingOrder="0"/>
    </xf>
    <xf borderId="9" fillId="4" fontId="16" numFmtId="0" xfId="0" applyBorder="1" applyFont="1"/>
    <xf borderId="10" fillId="4" fontId="16" numFmtId="0" xfId="0" applyBorder="1" applyFont="1"/>
    <xf borderId="0" fillId="8" fontId="5" numFmtId="0" xfId="0" applyAlignment="1" applyFill="1" applyFont="1">
      <alignment readingOrder="0"/>
    </xf>
    <xf borderId="0" fillId="8" fontId="5" numFmtId="0" xfId="0" applyFont="1"/>
    <xf borderId="0" fillId="2" fontId="4" numFmtId="0" xfId="0" applyAlignment="1" applyFont="1">
      <alignment horizontal="center" readingOrder="0"/>
    </xf>
    <xf borderId="0" fillId="2" fontId="17" numFmtId="0" xfId="0" applyFont="1"/>
    <xf borderId="0" fillId="2" fontId="18" numFmtId="0" xfId="0" applyFont="1"/>
    <xf borderId="0" fillId="2" fontId="4" numFmtId="0" xfId="0" applyAlignment="1" applyFont="1">
      <alignment readingOrder="0"/>
    </xf>
    <xf borderId="0" fillId="2" fontId="18" numFmtId="0" xfId="0" applyAlignment="1" applyFont="1">
      <alignment horizontal="center" readingOrder="0"/>
    </xf>
    <xf borderId="0" fillId="2" fontId="19" numFmtId="0" xfId="0" applyFont="1"/>
    <xf borderId="3" fillId="4" fontId="20" numFmtId="0" xfId="0" applyAlignment="1" applyBorder="1" applyFont="1">
      <alignment horizontal="center" readingOrder="0" vertical="center"/>
    </xf>
    <xf borderId="11" fillId="2" fontId="21" numFmtId="0" xfId="0" applyAlignment="1" applyBorder="1" applyFont="1">
      <alignment horizontal="center" readingOrder="0" vertical="bottom"/>
    </xf>
    <xf borderId="12" fillId="0" fontId="22" numFmtId="0" xfId="0" applyBorder="1" applyFont="1"/>
    <xf borderId="13" fillId="0" fontId="22" numFmtId="0" xfId="0" applyBorder="1" applyFont="1"/>
    <xf borderId="14" fillId="2" fontId="23" numFmtId="0" xfId="0" applyAlignment="1" applyBorder="1" applyFont="1">
      <alignment horizontal="left" readingOrder="0" shrinkToFit="0" vertical="center" wrapText="1"/>
    </xf>
    <xf borderId="0" fillId="3" fontId="5" numFmtId="0" xfId="0" applyAlignment="1" applyFont="1">
      <alignment horizontal="center" readingOrder="0"/>
    </xf>
    <xf borderId="15" fillId="2" fontId="24" numFmtId="10" xfId="0" applyAlignment="1" applyBorder="1" applyFont="1" applyNumberFormat="1">
      <alignment horizontal="center" vertical="center"/>
    </xf>
    <xf borderId="16" fillId="0" fontId="22" numFmtId="0" xfId="0" applyBorder="1" applyFont="1"/>
    <xf borderId="14" fillId="2" fontId="25" numFmtId="0" xfId="0" applyAlignment="1" applyBorder="1" applyFont="1">
      <alignment horizontal="center" readingOrder="0" shrinkToFit="0" vertical="center" wrapText="1"/>
    </xf>
    <xf borderId="14" fillId="2" fontId="25" numFmtId="0" xfId="0" applyAlignment="1" applyBorder="1" applyFont="1">
      <alignment horizontal="left" readingOrder="0" shrinkToFit="0" vertical="center" wrapText="1"/>
    </xf>
    <xf borderId="14" fillId="2" fontId="25" numFmtId="9" xfId="0" applyAlignment="1" applyBorder="1" applyFont="1" applyNumberFormat="1">
      <alignment horizontal="center" readingOrder="0" shrinkToFit="0" vertical="center" wrapText="1"/>
    </xf>
    <xf borderId="14" fillId="2" fontId="25" numFmtId="164" xfId="0" applyAlignment="1" applyBorder="1" applyFont="1" applyNumberFormat="1">
      <alignment horizontal="center" readingOrder="0" shrinkToFit="0" vertical="center" wrapText="1"/>
    </xf>
    <xf borderId="15" fillId="0" fontId="22" numFmtId="0" xfId="0" applyBorder="1" applyFont="1"/>
    <xf borderId="14" fillId="2" fontId="25" numFmtId="0" xfId="0" applyAlignment="1" applyBorder="1" applyFont="1">
      <alignment horizontal="center" readingOrder="0" shrinkToFit="0" vertical="center" wrapText="1"/>
    </xf>
    <xf borderId="14" fillId="2" fontId="25" numFmtId="0" xfId="0" applyAlignment="1" applyBorder="1" applyFont="1">
      <alignment horizontal="left" readingOrder="0" shrinkToFit="0" vertical="center" wrapText="1"/>
    </xf>
    <xf borderId="17" fillId="0" fontId="22" numFmtId="0" xfId="0" applyBorder="1" applyFont="1"/>
    <xf borderId="18" fillId="0" fontId="22" numFmtId="0" xfId="0" applyBorder="1" applyFont="1"/>
    <xf borderId="19" fillId="0" fontId="22" numFmtId="0" xfId="0" applyBorder="1" applyFont="1"/>
    <xf borderId="14" fillId="2" fontId="26" numFmtId="164" xfId="0" applyAlignment="1" applyBorder="1" applyFont="1" applyNumberFormat="1">
      <alignment horizontal="center" readingOrder="0" shrinkToFit="0" vertical="center" wrapText="1"/>
    </xf>
    <xf borderId="0" fillId="6" fontId="5" numFmtId="0" xfId="0" applyAlignment="1" applyFont="1">
      <alignment horizontal="center" readingOrder="0"/>
    </xf>
    <xf borderId="0" fillId="2" fontId="5" numFmtId="0" xfId="0" applyAlignment="1" applyFont="1">
      <alignment shrinkToFit="0" wrapText="1"/>
    </xf>
    <xf borderId="0" fillId="2" fontId="5" numFmtId="0" xfId="0" applyAlignment="1" applyFont="1">
      <alignment readingOrder="0" shrinkToFit="0" wrapText="1"/>
    </xf>
    <xf borderId="0" fillId="2" fontId="25" numFmtId="0" xfId="0" applyAlignment="1" applyFont="1">
      <alignment readingOrder="0" shrinkToFit="0" wrapText="1"/>
    </xf>
    <xf borderId="0" fillId="2" fontId="25" numFmtId="0" xfId="0" applyAlignment="1" applyFont="1">
      <alignment horizontal="right" readingOrder="0" shrinkToFit="0" wrapText="1"/>
    </xf>
    <xf borderId="0" fillId="2" fontId="25" numFmtId="0" xfId="0" applyAlignment="1" applyFont="1">
      <alignment shrinkToFit="0" wrapText="1"/>
    </xf>
    <xf borderId="20" fillId="9" fontId="27" numFmtId="0" xfId="0" applyAlignment="1" applyBorder="1" applyFill="1" applyFont="1">
      <alignment readingOrder="0" shrinkToFit="0" wrapText="1"/>
    </xf>
    <xf borderId="14" fillId="2" fontId="23" numFmtId="0" xfId="0" applyAlignment="1" applyBorder="1" applyFont="1">
      <alignment horizontal="left" readingOrder="0" shrinkToFit="0" vertical="center" wrapText="1"/>
    </xf>
    <xf borderId="0" fillId="10" fontId="25" numFmtId="0" xfId="0" applyAlignment="1" applyFill="1" applyFont="1">
      <alignment shrinkToFit="0" wrapText="1"/>
    </xf>
    <xf borderId="14" fillId="2" fontId="27" numFmtId="0" xfId="0" applyAlignment="1" applyBorder="1" applyFont="1">
      <alignment readingOrder="0" shrinkToFit="0" vertical="center" wrapText="1"/>
    </xf>
    <xf borderId="14" fillId="2" fontId="27" numFmtId="0" xfId="0" applyAlignment="1" applyBorder="1" applyFont="1">
      <alignment readingOrder="0" shrinkToFit="0" vertical="center" wrapText="1"/>
    </xf>
    <xf borderId="14" fillId="2" fontId="27" numFmtId="0" xfId="0" applyAlignment="1" applyBorder="1" applyFont="1">
      <alignment horizontal="left" readingOrder="0" shrinkToFit="0" vertical="center" wrapText="1"/>
    </xf>
    <xf borderId="14" fillId="2" fontId="23" numFmtId="0" xfId="0" applyAlignment="1" applyBorder="1" applyFont="1">
      <alignment readingOrder="0" shrinkToFit="0" vertical="center" wrapText="1"/>
    </xf>
    <xf borderId="14" fillId="2" fontId="27" numFmtId="0" xfId="0" applyAlignment="1" applyBorder="1" applyFont="1">
      <alignment horizontal="left" readingOrder="0" shrinkToFit="0" vertical="center" wrapText="1"/>
    </xf>
    <xf borderId="14" fillId="2" fontId="27" numFmtId="164" xfId="0" applyAlignment="1" applyBorder="1" applyFont="1" applyNumberFormat="1">
      <alignment readingOrder="0" shrinkToFit="0" vertical="center" wrapText="1"/>
    </xf>
    <xf borderId="14" fillId="2" fontId="27" numFmtId="49" xfId="0" applyAlignment="1" applyBorder="1" applyFont="1" applyNumberFormat="1">
      <alignment horizontal="left" readingOrder="0" shrinkToFit="0" vertical="center" wrapText="1"/>
    </xf>
    <xf borderId="14" fillId="2" fontId="27" numFmtId="10" xfId="0" applyAlignment="1" applyBorder="1" applyFont="1" applyNumberFormat="1">
      <alignment readingOrder="0" shrinkToFit="0" vertical="center" wrapText="1"/>
    </xf>
    <xf borderId="14" fillId="2" fontId="27" numFmtId="0" xfId="0" applyAlignment="1" applyBorder="1" applyFont="1">
      <alignment readingOrder="0" shrinkToFit="0" vertical="center" wrapText="1"/>
    </xf>
    <xf borderId="14" fillId="2" fontId="27" numFmtId="0" xfId="0" applyAlignment="1" applyBorder="1" applyFont="1">
      <alignment readingOrder="0" shrinkToFit="0" vertical="center" wrapText="1"/>
    </xf>
    <xf borderId="14" fillId="2" fontId="27" numFmtId="0" xfId="0" applyAlignment="1" applyBorder="1" applyFont="1">
      <alignment readingOrder="0" shrinkToFit="0" vertical="center" wrapText="1"/>
    </xf>
    <xf borderId="14" fillId="2" fontId="27" numFmtId="164" xfId="0" applyAlignment="1" applyBorder="1" applyFont="1" applyNumberFormat="1">
      <alignment readingOrder="0" shrinkToFit="0" vertical="center" wrapText="1"/>
    </xf>
    <xf borderId="14" fillId="2" fontId="27" numFmtId="49" xfId="0" applyAlignment="1" applyBorder="1" applyFont="1" applyNumberFormat="1">
      <alignment shrinkToFit="0" vertical="center" wrapText="1"/>
    </xf>
    <xf borderId="0" fillId="10" fontId="25" numFmtId="0" xfId="0" applyAlignment="1" applyFont="1">
      <alignment readingOrder="0" shrinkToFit="0" wrapText="1"/>
    </xf>
    <xf borderId="0" fillId="10" fontId="25" numFmtId="0" xfId="0" applyAlignment="1" applyFont="1">
      <alignment horizontal="center" readingOrder="0" shrinkToFit="0" wrapText="1"/>
    </xf>
    <xf borderId="20" fillId="9" fontId="27" numFmtId="0" xfId="0" applyAlignment="1" applyBorder="1" applyFont="1">
      <alignment shrinkToFit="0" wrapText="1"/>
    </xf>
    <xf borderId="14" fillId="2" fontId="27" numFmtId="0" xfId="0" applyAlignment="1" applyBorder="1" applyFont="1">
      <alignment shrinkToFit="0" vertical="center" wrapText="1"/>
    </xf>
    <xf borderId="0" fillId="11" fontId="25" numFmtId="0" xfId="0" applyAlignment="1" applyFill="1" applyFont="1">
      <alignment shrinkToFit="0" wrapText="1"/>
    </xf>
    <xf borderId="0" fillId="11" fontId="25" numFmtId="0" xfId="0" applyAlignment="1" applyFont="1">
      <alignment horizontal="right" readingOrder="0" shrinkToFit="0" wrapText="1"/>
    </xf>
    <xf borderId="0" fillId="11" fontId="25" numFmtId="0" xfId="0" applyAlignment="1" applyFont="1">
      <alignment readingOrder="0" shrinkToFit="0" wrapText="1"/>
    </xf>
    <xf borderId="14" fillId="2" fontId="27" numFmtId="10" xfId="0" applyAlignment="1" applyBorder="1" applyFont="1" applyNumberFormat="1">
      <alignment shrinkToFit="0" vertical="center" wrapText="1"/>
    </xf>
    <xf borderId="0" fillId="12" fontId="25" numFmtId="0" xfId="0" applyAlignment="1" applyFill="1" applyFont="1">
      <alignment horizontal="right" readingOrder="0" shrinkToFit="0" wrapText="1"/>
    </xf>
    <xf borderId="0" fillId="12" fontId="25" numFmtId="0" xfId="0" applyAlignment="1" applyFont="1">
      <alignment readingOrder="0" shrinkToFit="0" wrapText="1"/>
    </xf>
    <xf borderId="0" fillId="12" fontId="25" numFmtId="0" xfId="0" applyAlignment="1" applyFont="1">
      <alignment shrinkToFit="0" wrapText="1"/>
    </xf>
    <xf borderId="0" fillId="13" fontId="25" numFmtId="0" xfId="0" applyAlignment="1" applyFill="1" applyFont="1">
      <alignment shrinkToFit="0" wrapText="1"/>
    </xf>
    <xf borderId="0" fillId="13" fontId="25" numFmtId="0" xfId="0" applyAlignment="1" applyFont="1">
      <alignment readingOrder="0" shrinkToFit="0" wrapText="1"/>
    </xf>
    <xf borderId="0" fillId="13" fontId="25" numFmtId="0" xfId="0" applyAlignment="1" applyFont="1">
      <alignment horizontal="center" readingOrder="0" shrinkToFit="0" wrapText="1"/>
    </xf>
    <xf borderId="0" fillId="13" fontId="25" numFmtId="0" xfId="0" applyAlignment="1" applyFont="1">
      <alignment horizontal="right" readingOrder="0" shrinkToFit="0" wrapText="1"/>
    </xf>
    <xf borderId="0" fillId="14" fontId="25" numFmtId="0" xfId="0" applyAlignment="1" applyFill="1" applyFont="1">
      <alignment readingOrder="0" shrinkToFit="0" wrapText="1"/>
    </xf>
    <xf borderId="0" fillId="14" fontId="25" numFmtId="0" xfId="0" applyAlignment="1" applyFont="1">
      <alignment shrinkToFit="0" wrapText="1"/>
    </xf>
    <xf borderId="0" fillId="14" fontId="25" numFmtId="0" xfId="0" applyAlignment="1" applyFont="1">
      <alignment horizontal="left" readingOrder="0" shrinkToFit="0" wrapText="1"/>
    </xf>
    <xf borderId="0" fillId="14" fontId="25" numFmtId="0" xfId="0" applyAlignment="1" applyFont="1">
      <alignment horizontal="center" readingOrder="0" shrinkToFit="0" wrapText="1"/>
    </xf>
    <xf borderId="1" fillId="2" fontId="28" numFmtId="0" xfId="0" applyAlignment="1" applyBorder="1" applyFont="1">
      <alignment horizontal="center" readingOrder="0" shrinkToFit="0" vertical="center" wrapText="1"/>
    </xf>
    <xf borderId="1" fillId="2" fontId="29" numFmtId="0" xfId="0" applyAlignment="1" applyBorder="1" applyFont="1">
      <alignment horizontal="center" readingOrder="0" shrinkToFit="0" vertical="center" wrapText="1"/>
    </xf>
    <xf borderId="2" fillId="2" fontId="30" numFmtId="0" xfId="0" applyAlignment="1" applyBorder="1" applyFont="1">
      <alignment horizontal="center" readingOrder="0" shrinkToFit="0" vertical="center" wrapText="1"/>
    </xf>
    <xf borderId="0" fillId="2" fontId="31" numFmtId="0" xfId="0" applyAlignment="1" applyFont="1">
      <alignment vertical="bottom"/>
    </xf>
    <xf borderId="0" fillId="2" fontId="31" numFmtId="0" xfId="0" applyAlignment="1" applyFont="1">
      <alignment vertical="bottom"/>
    </xf>
    <xf borderId="0" fillId="2" fontId="25" numFmtId="0" xfId="0" applyAlignment="1" applyFont="1">
      <alignment horizontal="center" readingOrder="0" shrinkToFit="0" wrapText="1"/>
    </xf>
    <xf borderId="0" fillId="2" fontId="31" numFmtId="0" xfId="0" applyAlignment="1" applyFont="1">
      <alignment vertical="center"/>
    </xf>
    <xf borderId="0" fillId="2" fontId="25" numFmtId="0" xfId="0" applyAlignment="1" applyFont="1">
      <alignment shrinkToFit="0" vertical="center" wrapText="1"/>
    </xf>
    <xf borderId="0" fillId="2" fontId="25" numFmtId="0" xfId="0" applyAlignment="1" applyFont="1">
      <alignment readingOrder="0" shrinkToFit="0" vertical="center" wrapText="1"/>
    </xf>
    <xf borderId="14" fillId="2" fontId="25" numFmtId="0" xfId="0" applyAlignment="1" applyBorder="1" applyFont="1">
      <alignment horizontal="left" readingOrder="0" shrinkToFit="0" vertical="center" wrapText="1"/>
    </xf>
    <xf borderId="14" fillId="2" fontId="23" numFmtId="0" xfId="0" applyAlignment="1" applyBorder="1" applyFont="1">
      <alignment horizontal="center" readingOrder="0" shrinkToFit="0" vertical="center" wrapText="1"/>
    </xf>
    <xf borderId="14" fillId="2" fontId="23" numFmtId="0" xfId="0" applyAlignment="1" applyBorder="1" applyFont="1">
      <alignment horizontal="left" readingOrder="0" shrinkToFit="0" vertical="center" wrapText="1"/>
    </xf>
    <xf borderId="14" fillId="2" fontId="32" numFmtId="0" xfId="0" applyAlignment="1" applyBorder="1" applyFont="1">
      <alignment horizontal="center" readingOrder="0" shrinkToFit="0" vertical="center" wrapText="1"/>
    </xf>
    <xf borderId="14" fillId="2" fontId="32" numFmtId="0" xfId="0" applyAlignment="1" applyBorder="1" applyFont="1">
      <alignment horizontal="center" readingOrder="0" shrinkToFit="0" vertical="center" wrapText="1"/>
    </xf>
    <xf borderId="14" fillId="2" fontId="32" numFmtId="9" xfId="0" applyAlignment="1" applyBorder="1" applyFont="1" applyNumberFormat="1">
      <alignment horizontal="center" readingOrder="0" shrinkToFit="0" vertical="center" wrapText="1"/>
    </xf>
    <xf borderId="14" fillId="2" fontId="25" numFmtId="0" xfId="0" applyAlignment="1" applyBorder="1" applyFont="1">
      <alignment horizontal="center" readingOrder="0" shrinkToFit="0" vertical="center" wrapText="1"/>
    </xf>
    <xf borderId="14" fillId="2" fontId="25" numFmtId="164" xfId="0" applyAlignment="1" applyBorder="1" applyFont="1" applyNumberFormat="1">
      <alignment readingOrder="0" shrinkToFit="0" vertical="center" wrapText="1"/>
    </xf>
    <xf borderId="14" fillId="2" fontId="25" numFmtId="0" xfId="0" applyAlignment="1" applyBorder="1" applyFont="1">
      <alignment readingOrder="0" shrinkToFit="0" vertical="center" wrapText="1"/>
    </xf>
    <xf borderId="14" fillId="2" fontId="23" numFmtId="0" xfId="0" applyAlignment="1" applyBorder="1" applyFont="1">
      <alignment horizontal="center" shrinkToFit="0" vertical="center" wrapText="1"/>
    </xf>
    <xf borderId="14" fillId="2" fontId="25" numFmtId="0" xfId="0" applyAlignment="1" applyBorder="1" applyFont="1">
      <alignment horizontal="center" readingOrder="0" shrinkToFit="0" vertical="center" wrapText="1"/>
    </xf>
    <xf borderId="14" fillId="2" fontId="23" numFmtId="0" xfId="0" applyAlignment="1" applyBorder="1" applyFont="1">
      <alignment horizontal="center" readingOrder="0" shrinkToFit="0" vertical="center" wrapText="1"/>
    </xf>
    <xf borderId="14" fillId="2" fontId="23" numFmtId="0" xfId="0" applyAlignment="1" applyBorder="1" applyFont="1">
      <alignment horizontal="left" readingOrder="0" shrinkToFit="0" vertical="center" wrapText="1"/>
    </xf>
    <xf borderId="14" fillId="2" fontId="32" numFmtId="0" xfId="0" applyAlignment="1" applyBorder="1" applyFont="1">
      <alignment horizontal="left" readingOrder="0" shrinkToFit="0" vertical="center" wrapText="1"/>
    </xf>
    <xf borderId="14" fillId="2" fontId="31" numFmtId="0" xfId="0" applyAlignment="1" applyBorder="1" applyFont="1">
      <alignment horizontal="center" readingOrder="0" vertical="center"/>
    </xf>
    <xf borderId="14" fillId="2" fontId="25" numFmtId="0" xfId="0" applyAlignment="1" applyBorder="1" applyFont="1">
      <alignment readingOrder="0" shrinkToFit="0" vertical="center" wrapText="1"/>
    </xf>
    <xf borderId="14" fillId="2" fontId="25" numFmtId="0" xfId="0" applyAlignment="1" applyBorder="1" applyFont="1">
      <alignment horizontal="center" readingOrder="0" shrinkToFit="0" vertical="center" wrapText="1"/>
    </xf>
    <xf borderId="14" fillId="2" fontId="31" numFmtId="0" xfId="0" applyAlignment="1" applyBorder="1" applyFont="1">
      <alignment readingOrder="0" vertical="center"/>
    </xf>
    <xf borderId="14" fillId="2" fontId="25" numFmtId="0" xfId="0" applyAlignment="1" applyBorder="1" applyFont="1">
      <alignment readingOrder="0" shrinkToFit="0" vertical="center" wrapText="1"/>
    </xf>
    <xf borderId="0" fillId="14" fontId="31" numFmtId="0" xfId="0" applyAlignment="1" applyFont="1">
      <alignment vertical="bottom"/>
    </xf>
    <xf borderId="0" fillId="0" fontId="23" numFmtId="0" xfId="0" applyAlignment="1" applyFont="1">
      <alignment shrinkToFit="0" wrapText="1"/>
    </xf>
    <xf borderId="0" fillId="0" fontId="12" numFmtId="0" xfId="0" applyAlignment="1" applyFont="1">
      <alignment shrinkToFit="0" wrapText="1"/>
    </xf>
    <xf borderId="0" fillId="0" fontId="31" numFmtId="0" xfId="0" applyAlignment="1" applyFont="1">
      <alignment vertical="bottom"/>
    </xf>
    <xf borderId="0" fillId="2" fontId="7" numFmtId="0" xfId="0" applyFont="1"/>
    <xf borderId="0" fillId="2" fontId="8" numFmtId="0" xfId="0" applyAlignment="1" applyFont="1">
      <alignment readingOrder="0"/>
    </xf>
    <xf borderId="0" fillId="2" fontId="9" numFmtId="0" xfId="0" applyAlignment="1" applyFont="1">
      <alignment readingOrder="0"/>
    </xf>
    <xf borderId="0" fillId="2" fontId="10" numFmtId="0" xfId="0" applyAlignment="1" applyFont="1">
      <alignment horizontal="left" readingOrder="0"/>
    </xf>
    <xf borderId="0" fillId="2" fontId="11" numFmtId="0" xfId="0" applyAlignment="1" applyFont="1">
      <alignment horizontal="left" readingOrder="0"/>
    </xf>
    <xf borderId="0" fillId="2" fontId="12" numFmtId="0" xfId="0" applyFont="1"/>
    <xf borderId="0" fillId="2" fontId="9" numFmtId="0" xfId="0" applyFont="1"/>
    <xf borderId="0" fillId="2" fontId="13" numFmtId="0" xfId="0" applyAlignment="1" applyFont="1">
      <alignment readingOrder="0"/>
    </xf>
    <xf borderId="0" fillId="2" fontId="14" numFmtId="0" xfId="0" applyAlignment="1" applyFont="1">
      <alignment readingOrder="0"/>
    </xf>
    <xf borderId="0" fillId="2" fontId="15" numFmtId="0" xfId="0" applyAlignment="1" applyFont="1">
      <alignment readingOrder="0"/>
    </xf>
    <xf borderId="0" fillId="2" fontId="17" numFmtId="0" xfId="0" applyAlignment="1" applyFont="1">
      <alignment horizontal="center" readingOrder="0"/>
    </xf>
    <xf borderId="0" fillId="2" fontId="18" numFmtId="0" xfId="0" applyAlignment="1" applyFont="1">
      <alignment readingOrder="0"/>
    </xf>
    <xf borderId="0" fillId="2" fontId="16" numFmtId="0" xfId="0" applyFont="1"/>
    <xf borderId="0" fillId="2" fontId="16" numFmtId="0" xfId="0" applyAlignment="1" applyFont="1">
      <alignment readingOrder="0"/>
    </xf>
    <xf borderId="0" fillId="3" fontId="5" numFmtId="0" xfId="0" applyAlignment="1" applyFont="1">
      <alignment shrinkToFit="0" vertical="center" wrapText="1"/>
    </xf>
    <xf borderId="0" fillId="3" fontId="4" numFmtId="0" xfId="0" applyAlignment="1" applyFont="1">
      <alignment readingOrder="0"/>
    </xf>
    <xf borderId="0" fillId="3" fontId="33" numFmtId="0" xfId="0" applyAlignment="1" applyFont="1">
      <alignment readingOrder="0"/>
    </xf>
    <xf borderId="0" fillId="3" fontId="4" numFmtId="0" xfId="0" applyAlignment="1" applyFont="1">
      <alignment horizontal="right" readingOrder="0"/>
    </xf>
    <xf borderId="0" fillId="3" fontId="33" numFmtId="0" xfId="0" applyFont="1"/>
    <xf borderId="0" fillId="0" fontId="34" numFmtId="0" xfId="0" applyAlignment="1" applyFont="1">
      <alignment horizontal="left" readingOrder="0" shrinkToFit="0" vertical="center" wrapText="1"/>
    </xf>
    <xf borderId="0" fillId="3" fontId="5" numFmtId="0" xfId="0" applyAlignment="1" applyFont="1">
      <alignment horizontal="center" readingOrder="0" shrinkToFit="0" vertical="center" wrapText="1"/>
    </xf>
    <xf borderId="0" fillId="3" fontId="33" numFmtId="9" xfId="0" applyAlignment="1" applyFont="1" applyNumberFormat="1">
      <alignment readingOrder="0"/>
    </xf>
    <xf borderId="0" fillId="3" fontId="4" numFmtId="0" xfId="0" applyAlignment="1" applyFont="1">
      <alignment horizontal="center" readingOrder="0"/>
    </xf>
    <xf borderId="0" fillId="3" fontId="33" numFmtId="9" xfId="0" applyFont="1" applyNumberFormat="1"/>
    <xf borderId="0" fillId="3" fontId="33" numFmtId="0" xfId="0" applyAlignment="1" applyFont="1">
      <alignment horizontal="right" readingOrder="0"/>
    </xf>
    <xf borderId="0" fillId="3" fontId="33" numFmtId="0" xfId="0" applyAlignment="1" applyFont="1">
      <alignment horizontal="center" readingOrder="0"/>
    </xf>
    <xf borderId="0" fillId="5" fontId="5" numFmtId="0" xfId="0" applyAlignment="1" applyFont="1">
      <alignment shrinkToFit="0" vertical="center" wrapText="1"/>
    </xf>
    <xf borderId="0" fillId="5" fontId="4" numFmtId="0" xfId="0" applyFont="1"/>
    <xf borderId="0" fillId="5" fontId="4" numFmtId="0" xfId="0" applyAlignment="1" applyFont="1">
      <alignment readingOrder="0"/>
    </xf>
    <xf borderId="0" fillId="5" fontId="35" numFmtId="0" xfId="0" applyFont="1"/>
    <xf borderId="0" fillId="5" fontId="35" numFmtId="0" xfId="0" applyAlignment="1" applyFont="1">
      <alignment readingOrder="0"/>
    </xf>
    <xf borderId="0" fillId="5" fontId="35" numFmtId="9" xfId="0" applyFont="1" applyNumberFormat="1"/>
    <xf borderId="0" fillId="5" fontId="35" numFmtId="0" xfId="0" applyAlignment="1" applyFont="1">
      <alignment horizontal="center" readingOrder="0"/>
    </xf>
    <xf borderId="0" fillId="5" fontId="35" numFmtId="0" xfId="0" applyAlignment="1" applyFont="1">
      <alignment horizontal="right" readingOrder="0"/>
    </xf>
    <xf borderId="0" fillId="5" fontId="4" numFmtId="0" xfId="0" applyAlignment="1" applyFont="1">
      <alignment horizontal="right" readingOrder="0"/>
    </xf>
    <xf borderId="0" fillId="5" fontId="4" numFmtId="0" xfId="0" applyAlignment="1" applyFont="1">
      <alignment horizontal="center" readingOrder="0"/>
    </xf>
    <xf borderId="0" fillId="5" fontId="35" numFmtId="9" xfId="0" applyAlignment="1" applyFont="1" applyNumberFormat="1">
      <alignment readingOrder="0"/>
    </xf>
    <xf borderId="0" fillId="5" fontId="5" numFmtId="0" xfId="0" applyAlignment="1" applyFont="1">
      <alignment readingOrder="0" shrinkToFit="0" vertical="center" wrapText="1"/>
    </xf>
    <xf borderId="0" fillId="6" fontId="5" numFmtId="0" xfId="0" applyAlignment="1" applyFont="1">
      <alignment shrinkToFit="0" vertical="center" wrapText="1"/>
    </xf>
    <xf borderId="0" fillId="6" fontId="4" numFmtId="0" xfId="0" applyFont="1"/>
    <xf borderId="0" fillId="6" fontId="36" numFmtId="0" xfId="0" applyFont="1"/>
    <xf borderId="0" fillId="6" fontId="36" numFmtId="9" xfId="0" applyFont="1" applyNumberFormat="1"/>
    <xf borderId="0" fillId="6" fontId="5" numFmtId="0" xfId="0" applyAlignment="1" applyFont="1">
      <alignment horizontal="center" readingOrder="0" shrinkToFit="0" vertical="center" wrapText="1"/>
    </xf>
    <xf borderId="0" fillId="6" fontId="5" numFmtId="0" xfId="0" applyAlignment="1" applyFont="1">
      <alignment readingOrder="0" shrinkToFit="0" vertical="center" wrapText="1"/>
    </xf>
    <xf borderId="0" fillId="7" fontId="5" numFmtId="0" xfId="0" applyAlignment="1" applyFont="1">
      <alignment shrinkToFit="0" vertical="center" wrapText="1"/>
    </xf>
    <xf borderId="0" fillId="7" fontId="4" numFmtId="0" xfId="0" applyFont="1"/>
    <xf borderId="0" fillId="7" fontId="37" numFmtId="0" xfId="0" applyFont="1"/>
    <xf borderId="0" fillId="7" fontId="37" numFmtId="9" xfId="0" applyFont="1" applyNumberFormat="1"/>
    <xf borderId="0" fillId="7" fontId="5" numFmtId="0" xfId="0" applyAlignment="1" applyFont="1">
      <alignment horizontal="right" readingOrder="0" shrinkToFit="0" vertical="center" wrapText="1"/>
    </xf>
    <xf borderId="0" fillId="8" fontId="5" numFmtId="0" xfId="0" applyAlignment="1" applyFont="1">
      <alignment shrinkToFit="0" vertical="center" wrapText="1"/>
    </xf>
    <xf borderId="0" fillId="8" fontId="38" numFmtId="0" xfId="0" applyAlignment="1" applyFont="1">
      <alignment shrinkToFit="0" vertical="center" wrapText="1"/>
    </xf>
    <xf borderId="0" fillId="8" fontId="38" numFmtId="9" xfId="0" applyAlignment="1" applyFont="1" applyNumberFormat="1">
      <alignment shrinkToFit="0" vertical="center" wrapText="1"/>
    </xf>
    <xf borderId="0" fillId="15" fontId="4" numFmtId="0" xfId="0" applyFill="1" applyFont="1"/>
    <xf borderId="0" fillId="15" fontId="39" numFmtId="0" xfId="0" applyFont="1"/>
    <xf borderId="0" fillId="15" fontId="39" numFmtId="9" xfId="0" applyFont="1" applyNumberFormat="1"/>
    <xf borderId="14" fillId="2" fontId="27" numFmtId="10" xfId="0" applyAlignment="1" applyBorder="1" applyFont="1" applyNumberFormat="1">
      <alignment readingOrder="0" shrinkToFit="0" vertical="center" wrapText="1"/>
    </xf>
    <xf borderId="14" fillId="2" fontId="27" numFmtId="0" xfId="0" applyAlignment="1" applyBorder="1" applyFont="1">
      <alignment horizontal="center" readingOrder="0" shrinkToFit="0" vertical="center" wrapText="1"/>
    </xf>
    <xf borderId="14" fillId="2" fontId="27" numFmtId="10" xfId="0" applyAlignment="1" applyBorder="1" applyFont="1" applyNumberFormat="1">
      <alignment horizontal="center" readingOrder="0" shrinkToFit="0" vertical="center" wrapText="1"/>
    </xf>
    <xf borderId="14" fillId="2" fontId="27" numFmtId="9" xfId="0" applyAlignment="1" applyBorder="1" applyFont="1" applyNumberFormat="1">
      <alignment readingOrder="0" shrinkToFit="0" vertical="center" wrapText="1"/>
    </xf>
    <xf borderId="14" fillId="2" fontId="27" numFmtId="10" xfId="0" applyAlignment="1" applyBorder="1" applyFont="1" applyNumberFormat="1">
      <alignment shrinkToFit="0" vertical="center" wrapText="1"/>
    </xf>
    <xf borderId="14" fillId="2" fontId="27" numFmtId="10" xfId="0" applyAlignment="1" applyBorder="1" applyFont="1" applyNumberFormat="1">
      <alignment horizontal="center" shrinkToFit="0" vertical="center" wrapText="1"/>
    </xf>
    <xf borderId="0" fillId="3" fontId="5" numFmtId="0" xfId="0" applyAlignment="1" applyFont="1">
      <alignment readingOrder="0" shrinkToFit="0" vertical="center" wrapText="1"/>
    </xf>
    <xf borderId="14" fillId="2" fontId="27" numFmtId="49" xfId="0" applyAlignment="1" applyBorder="1" applyFont="1" applyNumberFormat="1">
      <alignment horizontal="center" readingOrder="0" shrinkToFit="0" vertical="center" wrapText="1"/>
    </xf>
    <xf borderId="14" fillId="2" fontId="27" numFmtId="0" xfId="0" applyAlignment="1" applyBorder="1" applyFont="1">
      <alignment horizontal="left" readingOrder="0" shrinkToFit="0" vertical="center" wrapText="1"/>
    </xf>
    <xf borderId="14" fillId="2" fontId="27" numFmtId="0" xfId="0" applyAlignment="1" applyBorder="1" applyFont="1">
      <alignment horizontal="center" readingOrder="0" shrinkToFit="0" vertical="center" wrapText="1"/>
    </xf>
    <xf borderId="14" fillId="2" fontId="27" numFmtId="9" xfId="0" applyAlignment="1" applyBorder="1" applyFont="1" applyNumberFormat="1">
      <alignment readingOrder="0" shrinkToFit="0" vertical="center" wrapText="1"/>
    </xf>
    <xf borderId="14" fillId="2" fontId="27" numFmtId="9" xfId="0" applyAlignment="1" applyBorder="1" applyFont="1" applyNumberFormat="1">
      <alignment horizontal="right" readingOrder="0" shrinkToFit="0" vertical="center" wrapText="1"/>
    </xf>
    <xf borderId="14" fillId="2" fontId="27" numFmtId="0" xfId="0" applyAlignment="1" applyBorder="1" applyFont="1">
      <alignment horizontal="left" readingOrder="0" shrinkToFit="0" vertical="center" wrapText="1"/>
    </xf>
    <xf borderId="14" fillId="2" fontId="27" numFmtId="10" xfId="0" applyAlignment="1" applyBorder="1" applyFont="1" applyNumberFormat="1">
      <alignment horizontal="right" readingOrder="0" shrinkToFit="0" vertical="center" wrapText="1"/>
    </xf>
    <xf borderId="0" fillId="7" fontId="5" numFmtId="0" xfId="0" applyAlignment="1" applyFont="1">
      <alignment readingOrder="0" shrinkToFit="0" vertical="center" wrapText="1"/>
    </xf>
    <xf borderId="0" fillId="8" fontId="5" numFmtId="0" xfId="0" applyAlignment="1" applyFont="1">
      <alignment readingOrder="0" shrinkToFit="0" vertical="center" wrapText="1"/>
    </xf>
    <xf borderId="0" fillId="0" fontId="12" numFmtId="0" xfId="0" applyAlignment="1" applyFont="1">
      <alignment shrinkToFit="0" vertical="center" wrapText="1"/>
    </xf>
    <xf borderId="21" fillId="16" fontId="40" numFmtId="0" xfId="0" applyBorder="1" applyFill="1" applyFont="1"/>
    <xf borderId="0" fillId="16" fontId="40" numFmtId="0" xfId="0" applyFont="1"/>
    <xf borderId="0" fillId="16" fontId="41" numFmtId="0" xfId="0" applyFont="1"/>
    <xf borderId="21" fillId="17" fontId="40" numFmtId="0" xfId="0" applyBorder="1" applyFill="1" applyFont="1"/>
    <xf borderId="0" fillId="17" fontId="41" numFmtId="0" xfId="0" applyFont="1"/>
    <xf borderId="21" fillId="18" fontId="42" numFmtId="0" xfId="0" applyAlignment="1" applyBorder="1" applyFill="1" applyFont="1">
      <alignment horizontal="center"/>
    </xf>
    <xf borderId="22" fillId="18" fontId="42" numFmtId="0" xfId="0" applyAlignment="1" applyBorder="1" applyFont="1">
      <alignment horizontal="center" readingOrder="0"/>
    </xf>
    <xf borderId="23" fillId="0" fontId="22" numFmtId="0" xfId="0" applyBorder="1" applyFont="1"/>
    <xf borderId="24" fillId="0" fontId="22" numFmtId="0" xfId="0" applyBorder="1" applyFont="1"/>
    <xf borderId="21" fillId="17" fontId="42" numFmtId="0" xfId="0" applyBorder="1" applyFont="1"/>
    <xf borderId="21" fillId="18" fontId="43" numFmtId="0" xfId="0" applyAlignment="1" applyBorder="1" applyFont="1">
      <alignment horizontal="center"/>
    </xf>
    <xf borderId="21" fillId="17" fontId="44" numFmtId="0" xfId="0" applyBorder="1" applyFont="1"/>
    <xf borderId="21" fillId="17" fontId="45" numFmtId="0" xfId="0" applyAlignment="1" applyBorder="1" applyFont="1">
      <alignment horizontal="right"/>
    </xf>
    <xf borderId="0" fillId="17" fontId="40" numFmtId="0" xfId="0" applyFont="1"/>
    <xf borderId="0" fillId="19" fontId="46" numFmtId="0" xfId="0" applyAlignment="1" applyFill="1" applyFont="1">
      <alignment horizontal="center" readingOrder="0" vertical="center"/>
    </xf>
    <xf borderId="0" fillId="20" fontId="40" numFmtId="0" xfId="0" applyFill="1" applyFont="1"/>
    <xf borderId="0" fillId="19" fontId="47" numFmtId="0" xfId="0" applyAlignment="1" applyFont="1">
      <alignment horizontal="center" vertical="center"/>
    </xf>
    <xf borderId="0" fillId="20" fontId="40" numFmtId="0" xfId="0" applyAlignment="1" applyFont="1">
      <alignment vertical="center"/>
    </xf>
    <xf borderId="0" fillId="19" fontId="48" numFmtId="0" xfId="0" applyAlignment="1" applyFont="1">
      <alignment horizontal="center" readingOrder="0"/>
    </xf>
    <xf borderId="0" fillId="17" fontId="40" numFmtId="0" xfId="0" applyAlignment="1" applyFont="1">
      <alignment vertical="center"/>
    </xf>
    <xf borderId="0" fillId="19" fontId="41" numFmtId="0" xfId="0" applyFont="1"/>
    <xf borderId="25" fillId="19" fontId="49" numFmtId="165" xfId="0" applyAlignment="1" applyBorder="1" applyFont="1" applyNumberFormat="1">
      <alignment horizontal="center" vertical="center"/>
    </xf>
    <xf borderId="26" fillId="0" fontId="22" numFmtId="0" xfId="0" applyBorder="1" applyFont="1"/>
    <xf borderId="27" fillId="0" fontId="22" numFmtId="0" xfId="0" applyBorder="1" applyFont="1"/>
    <xf borderId="0" fillId="20" fontId="50" numFmtId="0" xfId="0" applyAlignment="1" applyFont="1">
      <alignment vertical="center"/>
    </xf>
    <xf quotePrefix="1" borderId="28" fillId="19" fontId="51" numFmtId="166" xfId="0" applyAlignment="1" applyBorder="1" applyFont="1" applyNumberFormat="1">
      <alignment horizontal="center"/>
    </xf>
    <xf borderId="29" fillId="0" fontId="52" numFmtId="0" xfId="0" applyAlignment="1" applyBorder="1" applyFont="1">
      <alignment horizontal="left"/>
    </xf>
    <xf borderId="0" fillId="21" fontId="40" numFmtId="0" xfId="0" applyAlignment="1" applyFill="1" applyFont="1">
      <alignment vertical="center"/>
    </xf>
    <xf borderId="30" fillId="22" fontId="53" numFmtId="0" xfId="0" applyAlignment="1" applyBorder="1" applyFill="1" applyFont="1">
      <alignment horizontal="center" vertical="center"/>
    </xf>
    <xf borderId="21" fillId="22" fontId="53" numFmtId="0" xfId="0" applyAlignment="1" applyBorder="1" applyFont="1">
      <alignment horizontal="center" vertical="center"/>
    </xf>
    <xf borderId="31" fillId="22" fontId="53" numFmtId="0" xfId="0" applyAlignment="1" applyBorder="1" applyFont="1">
      <alignment horizontal="center" vertical="center"/>
    </xf>
    <xf borderId="0" fillId="0" fontId="40" numFmtId="0" xfId="0" applyAlignment="1" applyFont="1">
      <alignment vertical="center"/>
    </xf>
    <xf quotePrefix="1" borderId="29" fillId="19" fontId="51" numFmtId="166" xfId="0" applyAlignment="1" applyBorder="1" applyFont="1" applyNumberFormat="1">
      <alignment horizontal="center"/>
    </xf>
    <xf borderId="0" fillId="0" fontId="52" numFmtId="0" xfId="0" applyAlignment="1" applyFont="1">
      <alignment horizontal="left"/>
    </xf>
    <xf borderId="0" fillId="21" fontId="40" numFmtId="0" xfId="0" applyFont="1"/>
    <xf borderId="32" fillId="0" fontId="52" numFmtId="167" xfId="0" applyAlignment="1" applyBorder="1" applyFont="1" applyNumberFormat="1">
      <alignment horizontal="center" vertical="center"/>
    </xf>
    <xf borderId="32" fillId="23" fontId="52" numFmtId="167" xfId="0" applyAlignment="1" applyBorder="1" applyFill="1" applyFont="1" applyNumberFormat="1">
      <alignment horizontal="center" vertical="center"/>
    </xf>
    <xf borderId="32" fillId="24" fontId="52" numFmtId="167" xfId="0" applyAlignment="1" applyBorder="1" applyFill="1" applyFont="1" applyNumberFormat="1">
      <alignment horizontal="center" vertical="center"/>
    </xf>
    <xf borderId="29" fillId="19" fontId="51" numFmtId="166" xfId="0" applyAlignment="1" applyBorder="1" applyFont="1" applyNumberFormat="1">
      <alignment horizontal="center"/>
    </xf>
    <xf borderId="29" fillId="0" fontId="52" numFmtId="0" xfId="0" applyAlignment="1" applyBorder="1" applyFont="1">
      <alignment horizontal="left" shrinkToFit="0" wrapText="1"/>
    </xf>
    <xf borderId="0" fillId="21" fontId="41" numFmtId="0" xfId="0" applyFont="1"/>
    <xf borderId="0" fillId="25" fontId="40" numFmtId="0" xfId="0" applyFill="1" applyFont="1"/>
    <xf borderId="0" fillId="25" fontId="40" numFmtId="0" xfId="0" applyAlignment="1" applyFont="1">
      <alignment vertical="center"/>
    </xf>
    <xf borderId="0" fillId="26" fontId="40" numFmtId="0" xfId="0" applyFill="1" applyFont="1"/>
    <xf borderId="0" fillId="26" fontId="50" numFmtId="0" xfId="0" applyAlignment="1" applyFont="1">
      <alignment vertical="center"/>
    </xf>
    <xf borderId="0" fillId="26" fontId="40" numFmtId="0" xfId="0" applyAlignment="1" applyFont="1">
      <alignment vertical="center"/>
    </xf>
    <xf quotePrefix="1" borderId="29" fillId="19" fontId="43" numFmtId="166" xfId="0" applyAlignment="1" applyBorder="1" applyFont="1" applyNumberFormat="1">
      <alignment horizontal="center" readingOrder="0"/>
    </xf>
    <xf borderId="0" fillId="27" fontId="40" numFmtId="0" xfId="0" applyFill="1" applyFont="1"/>
    <xf borderId="0" fillId="27" fontId="40" numFmtId="0" xfId="0" applyAlignment="1" applyFont="1">
      <alignment vertical="center"/>
    </xf>
    <xf quotePrefix="1" borderId="29" fillId="19" fontId="51" numFmtId="166" xfId="0" applyAlignment="1" applyBorder="1" applyFont="1" applyNumberFormat="1">
      <alignment horizontal="center" readingOrder="0"/>
    </xf>
    <xf borderId="0" fillId="28" fontId="40" numFmtId="0" xfId="0" applyFill="1" applyFont="1"/>
    <xf borderId="0" fillId="28" fontId="40" numFmtId="0" xfId="0" applyAlignment="1" applyFont="1">
      <alignment vertical="center"/>
    </xf>
    <xf borderId="0" fillId="28" fontId="50" numFmtId="0" xfId="0" applyAlignment="1" applyFont="1">
      <alignment vertical="center"/>
    </xf>
    <xf borderId="29" fillId="19" fontId="43" numFmtId="166" xfId="0" applyAlignment="1" applyBorder="1" applyFont="1" applyNumberFormat="1">
      <alignment horizontal="center"/>
    </xf>
    <xf borderId="0" fillId="29" fontId="40" numFmtId="0" xfId="0" applyAlignment="1" applyFill="1" applyFont="1">
      <alignment vertical="center"/>
    </xf>
    <xf borderId="29" fillId="0" fontId="52" numFmtId="0" xfId="0" applyAlignment="1" applyBorder="1" applyFont="1">
      <alignment horizontal="left" readingOrder="0" shrinkToFit="0" wrapText="1"/>
    </xf>
    <xf borderId="0" fillId="29" fontId="40" numFmtId="0" xfId="0" applyFont="1"/>
    <xf borderId="0" fillId="30" fontId="40" numFmtId="0" xfId="0" applyFill="1" applyFont="1"/>
    <xf borderId="0" fillId="30" fontId="40" numFmtId="0" xfId="0" applyAlignment="1" applyFont="1">
      <alignment vertical="center"/>
    </xf>
    <xf borderId="0" fillId="31" fontId="40" numFmtId="0" xfId="0" applyFill="1" applyFont="1"/>
    <xf borderId="0" fillId="31" fontId="40" numFmtId="0" xfId="0" applyAlignment="1" applyFont="1">
      <alignment vertical="center"/>
    </xf>
    <xf borderId="0" fillId="31" fontId="50" numFmtId="0" xfId="0" applyAlignment="1" applyFont="1">
      <alignment vertical="center"/>
    </xf>
    <xf borderId="0" fillId="32" fontId="40" numFmtId="0" xfId="0" applyAlignment="1" applyFill="1" applyFont="1">
      <alignment vertical="center"/>
    </xf>
    <xf borderId="0" fillId="32" fontId="40" numFmtId="0" xfId="0" applyFont="1"/>
    <xf borderId="32" fillId="33" fontId="52" numFmtId="167" xfId="0" applyAlignment="1" applyBorder="1" applyFill="1" applyFont="1" applyNumberFormat="1">
      <alignment horizontal="center" vertical="center"/>
    </xf>
    <xf borderId="0" fillId="34" fontId="40" numFmtId="0" xfId="0" applyFill="1" applyFont="1"/>
    <xf borderId="0" fillId="34" fontId="40" numFmtId="0" xfId="0" applyAlignment="1" applyFont="1">
      <alignment vertical="center"/>
    </xf>
    <xf borderId="0" fillId="34" fontId="54" numFmtId="0" xfId="0" applyAlignment="1" applyFont="1">
      <alignment horizontal="center" vertical="center"/>
    </xf>
    <xf borderId="0" fillId="35" fontId="40" numFmtId="0" xfId="0" applyFill="1" applyFont="1"/>
    <xf borderId="0" fillId="35" fontId="40" numFmtId="0" xfId="0" applyAlignment="1" applyFont="1">
      <alignment vertical="center"/>
    </xf>
    <xf borderId="0" fillId="0" fontId="45" numFmtId="0" xfId="0" applyAlignment="1" applyFont="1">
      <alignment horizontal="right" vertical="center"/>
    </xf>
    <xf borderId="0" fillId="35" fontId="55" numFmtId="0" xfId="0" applyFont="1"/>
    <xf borderId="0" fillId="35" fontId="56" numFmtId="0" xfId="0" applyAlignment="1" applyFont="1">
      <alignment horizontal="right"/>
    </xf>
    <xf borderId="0" fillId="36" fontId="40" numFmtId="0" xfId="0" applyFill="1" applyFont="1"/>
    <xf borderId="0" fillId="37" fontId="40" numFmtId="0" xfId="0" applyFill="1" applyFont="1"/>
    <xf borderId="0" fillId="38" fontId="41" numFmtId="0" xfId="0" applyFill="1" applyFont="1"/>
    <xf borderId="0" fillId="39" fontId="25" numFmtId="0" xfId="0" applyAlignment="1" applyFill="1" applyFont="1">
      <alignment readingOrder="0"/>
    </xf>
    <xf borderId="0" fillId="39" fontId="25" numFmtId="0" xfId="0" applyAlignment="1" applyFont="1">
      <alignment vertical="bottom"/>
    </xf>
    <xf borderId="33" fillId="39" fontId="23" numFmtId="0" xfId="0" applyAlignment="1" applyBorder="1" applyFont="1">
      <alignment horizontal="left" readingOrder="0" shrinkToFit="0" vertical="center" wrapText="1"/>
    </xf>
    <xf borderId="0" fillId="39" fontId="41" numFmtId="0" xfId="0" applyFont="1"/>
    <xf borderId="0" fillId="39" fontId="41" numFmtId="0" xfId="0" applyAlignment="1" applyFont="1">
      <alignment horizontal="left" readingOrder="0" shrinkToFit="0" vertical="center" wrapText="1"/>
    </xf>
    <xf borderId="0" fillId="40" fontId="41" numFmtId="0" xfId="0" applyFill="1" applyFont="1"/>
    <xf borderId="0" fillId="0" fontId="41" numFmtId="0" xfId="0" applyAlignment="1" applyFont="1">
      <alignment readingOrder="0" shrinkToFit="0" vertical="center" wrapText="0"/>
    </xf>
    <xf borderId="0" fillId="0" fontId="41" numFmtId="0" xfId="0" applyAlignment="1" applyFont="1">
      <alignment horizontal="center" shrinkToFit="0" vertical="center" wrapText="0"/>
    </xf>
    <xf borderId="0" fillId="41" fontId="41" numFmtId="0" xfId="0" applyFill="1" applyFont="1"/>
    <xf borderId="0" fillId="40" fontId="41" numFmtId="0" xfId="0" applyAlignment="1" applyFont="1">
      <alignment readingOrder="0"/>
    </xf>
    <xf borderId="0" fillId="0" fontId="23" numFmtId="0" xfId="0" applyAlignment="1" applyFont="1">
      <alignment horizontal="left" readingOrder="0" shrinkToFit="0" vertical="center" wrapText="0"/>
    </xf>
    <xf borderId="0" fillId="0" fontId="12" numFmtId="0" xfId="0" applyAlignment="1" applyFont="1">
      <alignment horizontal="left" readingOrder="0" shrinkToFit="0" vertical="center" wrapText="0"/>
    </xf>
    <xf borderId="0" fillId="38" fontId="41" numFmtId="0" xfId="0" applyAlignment="1" applyFont="1">
      <alignment horizontal="center" shrinkToFit="0" vertical="center" wrapText="0"/>
    </xf>
    <xf borderId="0" fillId="38" fontId="41" numFmtId="0" xfId="0" applyAlignment="1" applyFont="1">
      <alignment horizontal="center" readingOrder="0" shrinkToFit="0" vertical="center" wrapText="0"/>
    </xf>
    <xf borderId="0" fillId="42" fontId="41" numFmtId="0" xfId="0" applyFill="1" applyFont="1"/>
    <xf borderId="0" fillId="43" fontId="41" numFmtId="0" xfId="0" applyFill="1" applyFont="1"/>
    <xf borderId="0" fillId="43" fontId="41" numFmtId="0" xfId="0" applyAlignment="1" applyFont="1">
      <alignment readingOrder="0"/>
    </xf>
    <xf borderId="0" fillId="44" fontId="41" numFmtId="0" xfId="0" applyFill="1" applyFont="1"/>
    <xf borderId="0" fillId="44" fontId="41" numFmtId="0" xfId="0" applyFont="1"/>
    <xf borderId="0" fillId="45" fontId="41" numFmtId="0" xfId="0" applyFill="1" applyFont="1"/>
    <xf borderId="0" fillId="45" fontId="41" numFmtId="0" xfId="0" applyFont="1"/>
    <xf borderId="0" fillId="46" fontId="41" numFmtId="0" xfId="0" applyFill="1" applyFont="1"/>
    <xf borderId="0" fillId="46" fontId="41" numFmtId="0" xfId="0" applyFont="1"/>
    <xf borderId="0" fillId="47" fontId="41" numFmtId="0" xfId="0" applyFill="1" applyFont="1"/>
    <xf borderId="0" fillId="47" fontId="41" numFmtId="0" xfId="0" applyFont="1"/>
    <xf borderId="0" fillId="48" fontId="41" numFmtId="0" xfId="0" applyFill="1" applyFont="1"/>
    <xf borderId="0" fillId="48" fontId="41" numFmtId="0" xfId="0" applyFont="1"/>
  </cellXfs>
  <cellStyles count="1">
    <cellStyle xfId="0" name="Normal" builtinId="0"/>
  </cellStyles>
  <dxfs count="10">
    <dxf>
      <font/>
      <fill>
        <patternFill patternType="none"/>
      </fill>
      <border/>
    </dxf>
    <dxf>
      <font/>
      <fill>
        <patternFill patternType="solid">
          <fgColor rgb="FF0B132B"/>
          <bgColor rgb="FF0B132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0B132B"/>
        </left>
        <right style="thin">
          <color rgb="FF0B132B"/>
        </right>
        <top style="thin">
          <color rgb="FF0B132B"/>
        </top>
        <bottom style="thin">
          <color rgb="FF0B132B"/>
        </bottom>
      </border>
    </dxf>
    <dxf>
      <font/>
      <fill>
        <patternFill patternType="solid">
          <fgColor rgb="FF49564C"/>
          <bgColor rgb="FF49564C"/>
        </patternFill>
      </fill>
      <border/>
    </dxf>
    <dxf>
      <font/>
      <fill>
        <patternFill patternType="solid">
          <fgColor rgb="FFD3DDEE"/>
          <bgColor rgb="FFD3DDEE"/>
        </patternFill>
      </fill>
      <border/>
    </dxf>
    <dxf>
      <font>
        <color rgb="FF2B4575"/>
      </font>
      <fill>
        <patternFill patternType="none"/>
      </fill>
      <border/>
    </dxf>
    <dxf>
      <font/>
      <numFmt numFmtId="0" formatCode="mmmm"/>
      <fill>
        <patternFill patternType="none"/>
      </fill>
      <border/>
    </dxf>
    <dxf>
      <font/>
      <fill>
        <patternFill patternType="solid">
          <fgColor rgb="FF110E29"/>
          <bgColor rgb="FF110E29"/>
        </patternFill>
      </fill>
      <border/>
    </dxf>
  </dxfs>
  <tableStyles count="17">
    <tableStyle count="4" pivot="0" name="Dashboard-style">
      <tableStyleElement dxfId="1" type="headerRow"/>
      <tableStyleElement dxfId="2" type="firstRowStripe"/>
      <tableStyleElement dxfId="3" type="secondRowStripe"/>
      <tableStyleElement dxfId="4" size="0" type="wholeTable"/>
    </tableStyle>
    <tableStyle count="4" pivot="0" name="Dashboard-style 2">
      <tableStyleElement dxfId="1" type="headerRow"/>
      <tableStyleElement dxfId="2" type="firstRowStripe"/>
      <tableStyleElement dxfId="3" type="secondRowStripe"/>
      <tableStyleElement dxfId="4" size="0" type="wholeTable"/>
    </tableStyle>
    <tableStyle count="4" pivot="0" name="Dashboard-style 3">
      <tableStyleElement dxfId="1" type="headerRow"/>
      <tableStyleElement dxfId="2" type="firstRowStripe"/>
      <tableStyleElement dxfId="3" type="secondRowStripe"/>
      <tableStyleElement dxfId="4" size="0" type="wholeTable"/>
    </tableStyle>
    <tableStyle count="4" pivot="0" name="Entry Data-style">
      <tableStyleElement dxfId="5" type="headerRow"/>
      <tableStyleElement dxfId="2" type="firstRowStripe"/>
      <tableStyleElement dxfId="3" type="secondRowStripe"/>
      <tableStyleElement dxfId="4" size="0" type="wholeTable"/>
    </tableStyle>
    <tableStyle count="4" pivot="0" name="Database-style">
      <tableStyleElement dxfId="1" type="headerRow"/>
      <tableStyleElement dxfId="2" type="firstRowStripe"/>
      <tableStyleElement dxfId="3" type="secondRowStripe"/>
      <tableStyleElement dxfId="4" size="0" type="wholeTable"/>
    </tableStyle>
    <tableStyle count="4" pivot="0" name="Database-style 2">
      <tableStyleElement dxfId="1" type="headerRow"/>
      <tableStyleElement dxfId="2" type="firstRowStripe"/>
      <tableStyleElement dxfId="3" type="secondRowStripe"/>
      <tableStyleElement dxfId="4" size="0" type="wholeTable"/>
    </tableStyle>
    <tableStyle count="4" pivot="0" name="Database-style 3">
      <tableStyleElement dxfId="1" type="headerRow"/>
      <tableStyleElement dxfId="2" type="firstRowStripe"/>
      <tableStyleElement dxfId="3" type="secondRowStripe"/>
      <tableStyleElement dxfId="4" size="0" type="wholeTable"/>
    </tableStyle>
    <tableStyle count="4" pivot="0" name="Jadwal Kuliah-style">
      <tableStyleElement dxfId="1" type="headerRow"/>
      <tableStyleElement dxfId="2" type="firstRowStripe"/>
      <tableStyleElement dxfId="3" type="secondRowStripe"/>
      <tableStyleElement dxfId="4" size="0" type="wholeTable"/>
    </tableStyle>
    <tableStyle count="4" pivot="0" name="Jadwal Kuliah-style 2">
      <tableStyleElement dxfId="1" type="headerRow"/>
      <tableStyleElement dxfId="2" type="firstRowStripe"/>
      <tableStyleElement dxfId="3" type="secondRowStripe"/>
      <tableStyleElement dxfId="4" size="0" type="wholeTable"/>
    </tableStyle>
    <tableStyle count="4" pivot="0" name="Jadwal Kuliah-style 3">
      <tableStyleElement dxfId="1" type="headerRow"/>
      <tableStyleElement dxfId="2" type="firstRowStripe"/>
      <tableStyleElement dxfId="3" type="secondRowStripe"/>
      <tableStyleElement dxfId="4" size="0" type="wholeTable"/>
    </tableStyle>
    <tableStyle count="4" pivot="0" name="Jadwal Kuliah-style 4">
      <tableStyleElement dxfId="1" type="headerRow"/>
      <tableStyleElement dxfId="2" type="firstRowStripe"/>
      <tableStyleElement dxfId="3" type="secondRowStripe"/>
      <tableStyleElement dxfId="4" size="0" type="wholeTable"/>
    </tableStyle>
    <tableStyle count="4" pivot="0" name="Jadwal Kuliah-style 5">
      <tableStyleElement dxfId="1" type="headerRow"/>
      <tableStyleElement dxfId="2" type="firstRowStripe"/>
      <tableStyleElement dxfId="3" type="secondRowStripe"/>
      <tableStyleElement dxfId="4" size="0" type="wholeTable"/>
    </tableStyle>
    <tableStyle count="4" pivot="0" name="Jadwal Kuliah-style 6">
      <tableStyleElement dxfId="1" type="headerRow"/>
      <tableStyleElement dxfId="2" type="firstRowStripe"/>
      <tableStyleElement dxfId="3" type="secondRowStripe"/>
      <tableStyleElement dxfId="4" size="0" type="wholeTable"/>
    </tableStyle>
    <tableStyle count="4" pivot="0" name="Jadwal Kuliah-style 7">
      <tableStyleElement dxfId="1" type="headerRow"/>
      <tableStyleElement dxfId="2" type="firstRowStripe"/>
      <tableStyleElement dxfId="3" type="secondRowStripe"/>
      <tableStyleElement dxfId="4" size="0" type="wholeTable"/>
    </tableStyle>
    <tableStyle count="4" pivot="0" name="Jadwal Kuliah-style 8">
      <tableStyleElement dxfId="1" type="headerRow"/>
      <tableStyleElement dxfId="2" type="firstRowStripe"/>
      <tableStyleElement dxfId="3" type="secondRowStripe"/>
      <tableStyleElement dxfId="4" size="0" type="wholeTable"/>
    </tableStyle>
    <tableStyle count="4" pivot="0" name="Tracking Matkul-style">
      <tableStyleElement dxfId="9" type="headerRow"/>
      <tableStyleElement dxfId="2" type="firstRowStripe"/>
      <tableStyleElement dxfId="3" type="secondRowStripe"/>
      <tableStyleElement dxfId="4" size="0" type="wholeTable"/>
    </tableStyle>
    <tableStyle count="4" pivot="0" name="Tracking Matkul-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microsoft.com/office/2007/relationships/slicerCache" Target="slicerCaches/slicerCache1.xml"/><Relationship Id="rId14" Type="http://schemas.openxmlformats.org/officeDocument/2006/relationships/pivotCacheDefinition" Target="pivotCache/pivotCacheDefinition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Roboto"/>
              </a:defRPr>
            </a:pPr>
            <a:r>
              <a:rPr b="0" i="0">
                <a:solidFill>
                  <a:srgbClr val="000000"/>
                </a:solidFill>
                <a:latin typeface="Roboto"/>
              </a:rPr>
              <a:t>STATUS</a:t>
            </a:r>
          </a:p>
        </c:rich>
      </c:tx>
      <c:overlay val="0"/>
    </c:title>
    <c:view3D>
      <c:rotX val="15"/>
      <c:rotY val="20"/>
      <c:depthPercent val="100"/>
      <c:rAngAx val="1"/>
    </c:view3D>
    <c:plotArea>
      <c:layout/>
      <c:bar3DChart>
        <c:barDir val="col"/>
        <c:grouping val="clustered"/>
        <c:ser>
          <c:idx val="0"/>
          <c:order val="0"/>
          <c:tx>
            <c:strRef>
              <c:f>Graph!$D$11:$D$12</c:f>
            </c:strRef>
          </c:tx>
          <c:spPr>
            <a:solidFill>
              <a:schemeClr val="accent1"/>
            </a:solidFill>
            <a:ln cmpd="sng">
              <a:solidFill>
                <a:srgbClr val="000000"/>
              </a:solidFill>
            </a:ln>
          </c:spPr>
          <c:cat>
            <c:strRef>
              <c:f>Graph!$C$13:$C$22</c:f>
            </c:strRef>
          </c:cat>
          <c:val>
            <c:numRef>
              <c:f>Graph!$D$13:$D$22</c:f>
              <c:numCache/>
            </c:numRef>
          </c:val>
        </c:ser>
        <c:ser>
          <c:idx val="1"/>
          <c:order val="1"/>
          <c:tx>
            <c:strRef>
              <c:f>Graph!$E$11:$E$12</c:f>
            </c:strRef>
          </c:tx>
          <c:spPr>
            <a:solidFill>
              <a:schemeClr val="accent2"/>
            </a:solidFill>
            <a:ln cmpd="sng">
              <a:solidFill>
                <a:srgbClr val="000000"/>
              </a:solidFill>
            </a:ln>
          </c:spPr>
          <c:cat>
            <c:strRef>
              <c:f>Graph!$C$13:$C$22</c:f>
            </c:strRef>
          </c:cat>
          <c:val>
            <c:numRef>
              <c:f>Graph!$E$13:$E$22</c:f>
              <c:numCache/>
            </c:numRef>
          </c:val>
        </c:ser>
        <c:ser>
          <c:idx val="2"/>
          <c:order val="2"/>
          <c:tx>
            <c:strRef>
              <c:f>Graph!$F$11:$F$12</c:f>
            </c:strRef>
          </c:tx>
          <c:spPr>
            <a:solidFill>
              <a:schemeClr val="accent3"/>
            </a:solidFill>
            <a:ln cmpd="sng">
              <a:solidFill>
                <a:srgbClr val="000000"/>
              </a:solidFill>
            </a:ln>
          </c:spPr>
          <c:cat>
            <c:strRef>
              <c:f>Graph!$C$13:$C$22</c:f>
            </c:strRef>
          </c:cat>
          <c:val>
            <c:numRef>
              <c:f>Graph!$F$13:$F$22</c:f>
              <c:numCache/>
            </c:numRef>
          </c:val>
        </c:ser>
        <c:ser>
          <c:idx val="3"/>
          <c:order val="3"/>
          <c:tx>
            <c:strRef>
              <c:f>Graph!$G$11:$G$12</c:f>
            </c:strRef>
          </c:tx>
          <c:cat>
            <c:strRef>
              <c:f>Graph!$C$13:$C$22</c:f>
            </c:strRef>
          </c:cat>
          <c:val>
            <c:numRef>
              <c:f>Graph!$G$13:$G$22</c:f>
              <c:numCache/>
            </c:numRef>
          </c:val>
        </c:ser>
        <c:axId val="815096976"/>
        <c:axId val="1694060229"/>
      </c:bar3DChart>
      <c:catAx>
        <c:axId val="8150969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694060229"/>
      </c:catAx>
      <c:valAx>
        <c:axId val="16940602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5096976"/>
      </c:valAx>
    </c:plotArea>
    <c:legend>
      <c:legendPos val="r"/>
      <c:overlay val="0"/>
      <c:txPr>
        <a:bodyPr/>
        <a:lstStyle/>
        <a:p>
          <a:pPr lvl="0">
            <a:defRPr b="0" sz="1600">
              <a:solidFill>
                <a:srgbClr val="000000"/>
              </a:solidFill>
              <a:latin typeface="+mn-lt"/>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Kehadiran</c:v>
          </c:tx>
          <c:spPr>
            <a:solidFill>
              <a:schemeClr val="accent1"/>
            </a:solidFill>
            <a:ln cmpd="sng">
              <a:solidFill>
                <a:srgbClr val="000000"/>
              </a:solidFill>
            </a:ln>
          </c:spPr>
          <c:dPt>
            <c:idx val="2"/>
          </c:dPt>
          <c:dPt>
            <c:idx val="6"/>
          </c:dPt>
          <c:cat>
            <c:strRef>
              <c:f>Graph!$H$14:$H$67</c:f>
            </c:strRef>
          </c:cat>
          <c:val>
            <c:numRef>
              <c:f>Graph!$J$14:$J$67</c:f>
              <c:numCache/>
            </c:numRef>
          </c:val>
        </c:ser>
        <c:axId val="644472985"/>
        <c:axId val="1838793605"/>
      </c:barChart>
      <c:lineChart>
        <c:varyColors val="0"/>
        <c:ser>
          <c:idx val="1"/>
          <c:order val="1"/>
          <c:tx>
            <c:v>Progress</c:v>
          </c:tx>
          <c:spPr>
            <a:ln cmpd="sng" w="19050">
              <a:solidFill>
                <a:srgbClr val="004561"/>
              </a:solidFill>
            </a:ln>
          </c:spPr>
          <c:marker>
            <c:symbol val="none"/>
          </c:marker>
          <c:cat>
            <c:strRef>
              <c:f>Graph!$H$14:$H$67</c:f>
            </c:strRef>
          </c:cat>
          <c:val>
            <c:numRef>
              <c:f>Graph!$K$14:$K$67</c:f>
              <c:numCache/>
            </c:numRef>
          </c:val>
          <c:smooth val="0"/>
        </c:ser>
        <c:axId val="644472985"/>
        <c:axId val="1838793605"/>
      </c:lineChart>
      <c:catAx>
        <c:axId val="6444729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sz="1600">
                <a:solidFill>
                  <a:srgbClr val="000000"/>
                </a:solidFill>
                <a:latin typeface="+mn-lt"/>
              </a:defRPr>
            </a:pPr>
          </a:p>
        </c:txPr>
        <c:crossAx val="1838793605"/>
      </c:catAx>
      <c:valAx>
        <c:axId val="18387936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4472985"/>
      </c:valAx>
    </c:plotArea>
    <c:legend>
      <c:legendPos val="t"/>
      <c:legendEntry>
        <c:idx val="0"/>
        <c:txPr>
          <a:bodyPr/>
          <a:lstStyle/>
          <a:p>
            <a:pPr lvl="0">
              <a:defRPr>
                <a:solidFill>
                  <a:srgbClr val="000000"/>
                </a:solidFill>
              </a:defRPr>
            </a:pPr>
          </a:p>
        </c:txPr>
      </c:legendEntry>
      <c:legendEntry>
        <c:idx val="1"/>
        <c:txPr>
          <a:bodyPr/>
          <a:lstStyle/>
          <a:p>
            <a:pPr lvl="0">
              <a:defRPr>
                <a:solidFill>
                  <a:srgbClr val="000000"/>
                </a:solidFill>
              </a:defRPr>
            </a:pPr>
          </a:p>
        </c:txPr>
      </c:legendEntry>
      <c:overlay val="0"/>
      <c:txPr>
        <a:bodyPr/>
        <a:lstStyle/>
        <a:p>
          <a:pPr lvl="0">
            <a:defRPr b="0" sz="1600">
              <a:solidFill>
                <a:srgbClr val="FFFFFF"/>
              </a:solidFill>
              <a:latin typeface="+mn-lt"/>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PRIORITAS</a:t>
            </a:r>
          </a:p>
        </c:rich>
      </c:tx>
      <c:overlay val="0"/>
    </c:title>
    <c:plotArea>
      <c:layout/>
      <c:barChart>
        <c:barDir val="bar"/>
        <c:grouping val="stacked"/>
        <c:ser>
          <c:idx val="0"/>
          <c:order val="0"/>
          <c:tx>
            <c:strRef>
              <c:f>Graph!$O$15:$O$16</c:f>
            </c:strRef>
          </c:tx>
          <c:spPr>
            <a:solidFill>
              <a:schemeClr val="accent1"/>
            </a:solidFill>
            <a:ln cmpd="sng">
              <a:solidFill>
                <a:srgbClr val="000000"/>
              </a:solidFill>
            </a:ln>
          </c:spPr>
          <c:cat>
            <c:strRef>
              <c:f>Graph!$N$17:$N$24</c:f>
            </c:strRef>
          </c:cat>
          <c:val>
            <c:numRef>
              <c:f>Graph!$O$17:$O$24</c:f>
              <c:numCache/>
            </c:numRef>
          </c:val>
        </c:ser>
        <c:ser>
          <c:idx val="1"/>
          <c:order val="1"/>
          <c:tx>
            <c:strRef>
              <c:f>Graph!$P$15:$P$16</c:f>
            </c:strRef>
          </c:tx>
          <c:spPr>
            <a:solidFill>
              <a:schemeClr val="accent2"/>
            </a:solidFill>
            <a:ln cmpd="sng">
              <a:solidFill>
                <a:srgbClr val="000000"/>
              </a:solidFill>
            </a:ln>
          </c:spPr>
          <c:cat>
            <c:strRef>
              <c:f>Graph!$N$17:$N$24</c:f>
            </c:strRef>
          </c:cat>
          <c:val>
            <c:numRef>
              <c:f>Graph!$P$17:$P$24</c:f>
              <c:numCache/>
            </c:numRef>
          </c:val>
        </c:ser>
        <c:ser>
          <c:idx val="2"/>
          <c:order val="2"/>
          <c:tx>
            <c:strRef>
              <c:f>Graph!$Q$15:$Q$16</c:f>
            </c:strRef>
          </c:tx>
          <c:spPr>
            <a:solidFill>
              <a:schemeClr val="accent3"/>
            </a:solidFill>
            <a:ln cmpd="sng">
              <a:solidFill>
                <a:srgbClr val="000000"/>
              </a:solidFill>
            </a:ln>
          </c:spPr>
          <c:cat>
            <c:strRef>
              <c:f>Graph!$N$17:$N$24</c:f>
            </c:strRef>
          </c:cat>
          <c:val>
            <c:numRef>
              <c:f>Graph!$Q$17:$Q$24</c:f>
              <c:numCache/>
            </c:numRef>
          </c:val>
        </c:ser>
        <c:overlap val="100"/>
        <c:axId val="2054297832"/>
        <c:axId val="2053358064"/>
      </c:barChart>
      <c:catAx>
        <c:axId val="205429783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Mata Kuliah</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2053358064"/>
      </c:catAx>
      <c:valAx>
        <c:axId val="20533580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4297832"/>
        <c:crosses val="max"/>
      </c:valAx>
    </c:plotArea>
    <c:legend>
      <c:legendPos val="r"/>
      <c:overlay val="0"/>
      <c:txPr>
        <a:bodyPr/>
        <a:lstStyle/>
        <a:p>
          <a:pPr lvl="0">
            <a:defRPr b="0"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AGENDA</a:t>
            </a:r>
          </a:p>
        </c:rich>
      </c:tx>
      <c:overlay val="0"/>
    </c:title>
    <c:plotArea>
      <c:layout/>
      <c:pieChart>
        <c:varyColors val="1"/>
        <c:ser>
          <c:idx val="0"/>
          <c:order val="0"/>
          <c:tx>
            <c:strRef>
              <c:f>Graph!$D$33</c:f>
            </c:strRef>
          </c:tx>
          <c:dPt>
            <c:idx val="0"/>
            <c:spPr>
              <a:solidFill>
                <a:srgbClr val="5891AD"/>
              </a:solidFill>
            </c:spPr>
          </c:dPt>
          <c:dPt>
            <c:idx val="1"/>
            <c:spPr>
              <a:solidFill>
                <a:srgbClr val="004561"/>
              </a:solidFill>
            </c:spPr>
          </c:dPt>
          <c:dPt>
            <c:idx val="2"/>
            <c:spPr>
              <a:solidFill>
                <a:srgbClr val="FF6F31"/>
              </a:solidFill>
            </c:spPr>
          </c:dPt>
          <c:dPt>
            <c:idx val="3"/>
            <c:spPr>
              <a:solidFill>
                <a:srgbClr val="1C7685"/>
              </a:solidFill>
            </c:spPr>
          </c:dPt>
          <c:dPt>
            <c:idx val="4"/>
            <c:spPr>
              <a:solidFill>
                <a:srgbClr val="0F45A8"/>
              </a:solidFill>
            </c:spPr>
          </c:dPt>
          <c:dPt>
            <c:idx val="5"/>
            <c:spPr>
              <a:solidFill>
                <a:srgbClr val="4CDC8B"/>
              </a:solidFill>
            </c:spPr>
          </c:dPt>
          <c:dPt>
            <c:idx val="6"/>
            <c:spPr>
              <a:solidFill>
                <a:srgbClr val="8AB2C6"/>
              </a:solidFill>
            </c:spPr>
          </c:dPt>
          <c:dPt>
            <c:idx val="7"/>
            <c:spPr>
              <a:solidFill>
                <a:srgbClr val="4D7D90"/>
              </a:solidFill>
            </c:spPr>
          </c:dPt>
          <c:dLbls>
            <c:showLegendKey val="0"/>
            <c:showVal val="0"/>
            <c:showCatName val="0"/>
            <c:showSerName val="0"/>
            <c:showPercent val="0"/>
            <c:showBubbleSize val="0"/>
            <c:showLeaderLines val="1"/>
          </c:dLbls>
          <c:cat>
            <c:strRef>
              <c:f>Graph!$C$34:$C$41</c:f>
            </c:strRef>
          </c:cat>
          <c:val>
            <c:numRef>
              <c:f>Graph!$D$34:$D$41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5891AD"/>
              </a:solidFill>
            </a:ln>
          </c:spPr>
          <c:marker>
            <c:symbol val="none"/>
          </c:marker>
          <c:cat>
            <c:strRef>
              <c:f>'Tracking Matkul'!$A$7:$H$7</c:f>
            </c:strRef>
          </c:cat>
          <c:val>
            <c:numRef>
              <c:f>'Tracking Matkul'!$A$8:$H$8</c:f>
              <c:numCache/>
            </c:numRef>
          </c:val>
          <c:smooth val="1"/>
        </c:ser>
        <c:axId val="1007899170"/>
        <c:axId val="1032634582"/>
      </c:lineChart>
      <c:catAx>
        <c:axId val="10078991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32634582"/>
      </c:catAx>
      <c:valAx>
        <c:axId val="10326345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7899170"/>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428625</xdr:colOff>
      <xdr:row>35</xdr:row>
      <xdr:rowOff>28575</xdr:rowOff>
    </xdr:from>
    <xdr:ext cx="8191500" cy="5067300"/>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1362075</xdr:colOff>
      <xdr:row>9</xdr:row>
      <xdr:rowOff>161925</xdr:rowOff>
    </xdr:from>
    <xdr:ext cx="8191500" cy="5067300"/>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1362075</xdr:colOff>
      <xdr:row>35</xdr:row>
      <xdr:rowOff>28575</xdr:rowOff>
    </xdr:from>
    <xdr:ext cx="8105775" cy="5067300"/>
    <xdr:graphicFrame>
      <xdr:nvGraphicFramePr>
        <xdr:cNvPr id="3" name="Chart 3" title="Diag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428625</xdr:colOff>
      <xdr:row>9</xdr:row>
      <xdr:rowOff>161925</xdr:rowOff>
    </xdr:from>
    <xdr:ext cx="8191500" cy="5067300"/>
    <xdr:graphicFrame>
      <xdr:nvGraphicFramePr>
        <xdr:cNvPr id="4" name="Chart 4" title="Diagram"/>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476250</xdr:colOff>
      <xdr:row>4</xdr:row>
      <xdr:rowOff>133350</xdr:rowOff>
    </xdr:from>
    <xdr:ext cx="4572000" cy="2857500"/>
    <mc:AlternateContent>
      <mc:Choice Requires="sle15">
        <xdr:graphicFrame>
          <xdr:nvGraphicFramePr>
            <xdr:cNvPr id="1" name="Semester_1"/>
            <xdr:cNvGraphicFramePr/>
          </xdr:nvGraphicFramePr>
          <xdr:xfrm>
            <a:off x="0" y="0"/>
            <a:ext cx="0" cy="0"/>
          </xdr:xfrm>
          <a:graphic>
            <a:graphicData uri="http://schemas.microsoft.com/office/drawing/2010/slicer">
              <x3Unk:slicer name="Semeste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9</xdr:row>
      <xdr:rowOff>57150</xdr:rowOff>
    </xdr:from>
    <xdr:ext cx="3248025" cy="2009775"/>
    <xdr:graphicFrame>
      <xdr:nvGraphicFramePr>
        <xdr:cNvPr id="5" name="Chart 5"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J6:L22" sheet="Entry Data"/>
  </cacheSource>
  <cacheFields>
    <cacheField name="Nama Kegiatan" numFmtId="0">
      <sharedItems>
        <s v="Awal semester"/>
        <s v="Praktikum Pemdas"/>
        <s v="After Movie"/>
        <s v="Video Matdis"/>
        <s v="Soal Matdas"/>
        <s v="Kuis Pancasila"/>
        <s v="Kuis Matdas"/>
        <s v="Presentasi Pancasila"/>
        <s v="LKMM-TD"/>
        <s v="Kuis Aljabar Matriks"/>
        <s v="PPT Akso"/>
        <s v="Laporan Praktikum Pemdas"/>
        <s v="Projek Pemdas"/>
        <s v="Minggu Tenang"/>
        <s v="UAS"/>
        <s v="Libur Semester"/>
      </sharedItems>
    </cacheField>
    <cacheField name="Mata Kuliah" numFmtId="0">
      <sharedItems>
        <s v="Lain-lain"/>
        <s v="Praktikum"/>
        <s v="Matematika Diskrit"/>
        <s v="Matematika Dasar"/>
        <s v="Pancasila"/>
        <s v="Aljabar Matriks"/>
        <s v="Arsitektur Komputer dan Sistem Operasi"/>
        <s v="Pemograman Dasar"/>
      </sharedItems>
    </cacheField>
    <cacheField name="Status" numFmtId="0">
      <sharedItems>
        <s v="Selesai"/>
        <s v="Dalam proses"/>
        <s v="Belum dimulai"/>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K6:M22" sheet="Entry Data"/>
  </cacheSource>
  <cacheFields>
    <cacheField name="Mata Kuliah" numFmtId="0">
      <sharedItems>
        <s v="Lain-lain"/>
        <s v="Praktikum"/>
        <s v="Matematika Diskrit"/>
        <s v="Matematika Dasar"/>
        <s v="Pancasila"/>
        <s v="Aljabar Matriks"/>
        <s v="Arsitektur Komputer dan Sistem Operasi"/>
        <s v="Pemograman Dasar"/>
      </sharedItems>
    </cacheField>
    <cacheField name="Status" numFmtId="0">
      <sharedItems>
        <s v="Selesai"/>
        <s v="Dalam proses"/>
        <s v="Belum dimulai"/>
      </sharedItems>
    </cacheField>
    <cacheField name="Prioritas" numFmtId="0">
      <sharedItems>
        <s v="Ringan"/>
        <s v="Sedang"/>
        <s v="Tinggi"/>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K6:K22" sheet="Entry Data"/>
  </cacheSource>
  <cacheFields>
    <cacheField name="Mata Kuliah" numFmtId="0">
      <sharedItems>
        <s v="Lain-lain"/>
        <s v="Praktikum"/>
        <s v="Matematika Diskrit"/>
        <s v="Matematika Dasar"/>
        <s v="Pancasila"/>
        <s v="Aljabar Matriks"/>
        <s v="Arsitektur Komputer dan Sistem Operasi"/>
        <s v="Pemograman Dasar"/>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Graph" cacheId="0" dataCaption="" rowGrandTotals="0" colGrandTotals="0" compact="0" compactData="0">
  <location ref="C11:F20" firstHeaderRow="0" firstDataRow="1" firstDataCol="1"/>
  <pivotFields>
    <pivotField name="Nama Kegiatan" compact="0" outline="0" multipleItemSelectionAllowed="1" showAll="0">
      <items>
        <item x="0"/>
        <item x="1"/>
        <item x="2"/>
        <item x="3"/>
        <item x="4"/>
        <item x="5"/>
        <item x="6"/>
        <item x="7"/>
        <item x="8"/>
        <item x="9"/>
        <item x="10"/>
        <item x="11"/>
        <item x="12"/>
        <item x="13"/>
        <item x="14"/>
        <item x="15"/>
        <item t="default"/>
      </items>
    </pivotField>
    <pivotField name="Mata Kuliah" axis="axisRow" compact="0" outline="0" multipleItemSelectionAllowed="1" showAll="0" sortType="ascending">
      <items>
        <item x="5"/>
        <item x="6"/>
        <item x="0"/>
        <item x="3"/>
        <item x="2"/>
        <item x="4"/>
        <item x="7"/>
        <item x="1"/>
        <item t="default"/>
      </items>
    </pivotField>
    <pivotField name="Status" axis="axisCol" dataField="1" compact="0" outline="0" multipleItemSelectionAllowed="1" showAll="0" sortType="ascending">
      <items>
        <item x="2"/>
        <item x="1"/>
        <item x="0"/>
        <item t="default"/>
      </items>
    </pivotField>
  </pivotFields>
  <rowFields>
    <field x="1"/>
  </rowFields>
  <colFields>
    <field x="2"/>
  </colFields>
  <dataFields>
    <dataField name="COUNTA of Status" fld="2" subtotal="count" baseField="0"/>
  </dataFields>
</pivotTableDefinition>
</file>

<file path=xl/pivotTables/pivotTable2.xml><?xml version="1.0" encoding="utf-8"?>
<pivotTableDefinition xmlns="http://schemas.openxmlformats.org/spreadsheetml/2006/main" name="Graph 2" cacheId="1" dataCaption="" rowGrandTotals="0" colGrandTotals="0" compact="0" compactData="0">
  <location ref="N15:Q24" firstHeaderRow="0" firstDataRow="1" firstDataCol="1"/>
  <pivotFields>
    <pivotField name="Mata Kuliah" axis="axisRow" compact="0" outline="0" multipleItemSelectionAllowed="1" showAll="0" sortType="ascending">
      <items>
        <item x="5"/>
        <item x="6"/>
        <item x="0"/>
        <item x="3"/>
        <item x="2"/>
        <item x="4"/>
        <item x="7"/>
        <item x="1"/>
        <item t="default"/>
      </items>
    </pivotField>
    <pivotField name="Status" compact="0" outline="0" multipleItemSelectionAllowed="1" showAll="0">
      <items>
        <item x="0"/>
        <item x="1"/>
        <item x="2"/>
        <item t="default"/>
      </items>
    </pivotField>
    <pivotField name="Prioritas" axis="axisCol" dataField="1" compact="0" outline="0" multipleItemSelectionAllowed="1" showAll="0" sortType="ascending">
      <items>
        <item x="0"/>
        <item x="1"/>
        <item x="2"/>
        <item t="default"/>
      </items>
    </pivotField>
  </pivotFields>
  <rowFields>
    <field x="0"/>
  </rowFields>
  <colFields>
    <field x="2"/>
  </colFields>
  <dataFields>
    <dataField name="COUNTA of Prioritas" fld="2" subtotal="count" baseField="0"/>
  </dataFields>
</pivotTableDefinition>
</file>

<file path=xl/pivotTables/pivotTable3.xml><?xml version="1.0" encoding="utf-8"?>
<pivotTableDefinition xmlns="http://schemas.openxmlformats.org/spreadsheetml/2006/main" name="Graph 3" cacheId="2" dataCaption="" compact="0" compactData="0">
  <location ref="C33:D42" firstHeaderRow="0" firstDataRow="1" firstDataCol="0"/>
  <pivotFields>
    <pivotField name="Mata Kuliah" axis="axisRow" dataField="1" compact="0" outline="0" multipleItemSelectionAllowed="1" showAll="0" sortType="ascending">
      <items>
        <item x="5"/>
        <item x="6"/>
        <item x="0"/>
        <item x="3"/>
        <item x="2"/>
        <item x="4"/>
        <item x="7"/>
        <item x="1"/>
        <item t="default"/>
      </items>
    </pivotField>
  </pivotFields>
  <rowFields>
    <field x="0"/>
  </rowFields>
  <dataFields>
    <dataField name="COUNTA of Mata Kuliah"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8_Col_2" sourceName="Semester">
  <x14:extLst>
    <ext uri="{2F2917AC-EB37-4324-AD4E-5DD8C200BD13}">
      <x15:tableSlicerCache tableId="8"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emester_1" cache="SlicerCache_Table_8_Col_2" caption="Semester" rowHeight="247650"/>
</x14:slicers>
</file>

<file path=xl/tables/table1.xml><?xml version="1.0" encoding="utf-8"?>
<table xmlns="http://schemas.openxmlformats.org/spreadsheetml/2006/main" ref="F7:K8" displayName="Jadwal" name="Jadwal" id="1">
  <tableColumns count="6">
    <tableColumn name="Semester" id="1"/>
    <tableColumn name="Mata Kuliah" id="2"/>
    <tableColumn name="Hari" id="3"/>
    <tableColumn name="SKS" id="4"/>
    <tableColumn name="Waktu" id="5"/>
    <tableColumn name="Keterangan" id="6"/>
  </tableColumns>
  <tableStyleInfo name="Dashboard-style" showColumnStripes="0" showFirstColumn="1" showLastColumn="1" showRowStripes="1"/>
</table>
</file>

<file path=xl/tables/table2.xml><?xml version="1.0" encoding="utf-8"?>
<table xmlns="http://schemas.openxmlformats.org/spreadsheetml/2006/main" ref="M7:Q10" displayName="Prioritas" name="Prioritas" id="2">
  <tableColumns count="5">
    <tableColumn name="Kegiatan" id="1"/>
    <tableColumn name="Mata Kuliah" id="2"/>
    <tableColumn name="Prioritas" id="3"/>
    <tableColumn name="Deadline" id="4"/>
    <tableColumn name="Progress" id="5"/>
  </tableColumns>
  <tableStyleInfo name="Dashboard-style 2" showColumnStripes="0" showFirstColumn="1" showLastColumn="1" showRowStripes="1"/>
</table>
</file>

<file path=xl/tables/table3.xml><?xml version="1.0" encoding="utf-8"?>
<table xmlns="http://schemas.openxmlformats.org/spreadsheetml/2006/main" ref="M12:Q16" displayName="Terdekat" name="Terdekat" id="3">
  <tableColumns count="5">
    <tableColumn name="Kegiatan" id="1"/>
    <tableColumn name="Mata Kuliah" id="2"/>
    <tableColumn name="Status" id="3"/>
    <tableColumn name="Deadline" id="4"/>
    <tableColumn name="Progress" id="5"/>
  </tableColumns>
  <tableStyleInfo name="Dashboard-style 3" showColumnStripes="0" showFirstColumn="1" showLastColumn="1" showRowStripes="1"/>
</table>
</file>

<file path=xl/tables/table4.xml><?xml version="1.0" encoding="utf-8"?>
<table xmlns="http://schemas.openxmlformats.org/spreadsheetml/2006/main" ref="H6:Q22" displayName="Agenda" name="Agenda" id="4">
  <tableColumns count="10">
    <tableColumn name="Kategori" id="1"/>
    <tableColumn name="Jenis Kegiatan" id="2"/>
    <tableColumn name="Nama Kegiatan" id="3"/>
    <tableColumn name="Mata Kuliah" id="4"/>
    <tableColumn name="Status" id="5"/>
    <tableColumn name="Prioritas" id="6"/>
    <tableColumn name="Tanggal" id="7"/>
    <tableColumn name="Deadline" id="8"/>
    <tableColumn name="Catatan" id="9"/>
    <tableColumn name="Progress" id="10"/>
  </tableColumns>
  <tableStyleInfo name="Entry Data-style" showColumnStripes="0" showFirstColumn="1" showLastColumn="1" showRowStripes="1"/>
</table>
</file>

<file path=xl/tables/table5.xml><?xml version="1.0" encoding="utf-8"?>
<table xmlns="http://schemas.openxmlformats.org/spreadsheetml/2006/main" headerRowCount="0" ref="B6:K6" displayName="Jadwal_Kuliah_" name="Jadwal_Kuliah_"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atabase-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ref="M6:P60" displayName="Absensi" name="Absensi" id="6">
  <tableColumns count="4">
    <tableColumn name="Semester" id="1"/>
    <tableColumn name="Tanggal" id="2"/>
    <tableColumn name="Mata Kuliah" id="3"/>
    <tableColumn name="Status" id="4"/>
  </tableColumns>
  <tableStyleInfo name="Database-style 2" showColumnStripes="0" showFirstColumn="1" showLastColumn="1" showRowStripes="1"/>
</table>
</file>

<file path=xl/tables/table7.xml><?xml version="1.0" encoding="utf-8"?>
<table xmlns="http://schemas.openxmlformats.org/spreadsheetml/2006/main" headerRowCount="0" ref="R6:AA6" displayName="Table3" name="Table3" id="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atabase-style 3"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H13:K67" displayName="Table_1" name="Table_1" id="8">
  <autoFilter ref="$H$13:$K$67"/>
  <tableColumns count="4">
    <tableColumn name="Mata Kuliah" id="1"/>
    <tableColumn name="Semester" id="2"/>
    <tableColumn name="Kehadiran" id="3"/>
    <tableColumn name="Progress" id="4"/>
  </tableColumns>
  <tableStyleInfo showColumnStripes="0" showFirstColumn="0" showLastColumn="0" showRowStripes="0"/>
</table>
</file>

<file path=xl/tables/table9.xml><?xml version="1.0" encoding="utf-8"?>
<table xmlns="http://schemas.openxmlformats.org/spreadsheetml/2006/main" headerRowCount="0" ref="B6:H6" displayName="Jadwal_Kuliah_Semester_1" name="Jadwal_Kuliah_Semester_1" id="9">
  <tableColumns count="7">
    <tableColumn name="Column1" id="1"/>
    <tableColumn name="Column2" id="2"/>
    <tableColumn name="Column3" id="3"/>
    <tableColumn name="Column4" id="4"/>
    <tableColumn name="Column5" id="5"/>
    <tableColumn name="Column6" id="6"/>
    <tableColumn name="Column7" id="7"/>
  </tableColumns>
  <tableStyleInfo name="Jadwal Kuliah-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J6:P6" displayName="Jadwal_Kuliah_Semester_2" name="Jadwal_Kuliah_Semester_2" id="10">
  <tableColumns count="7">
    <tableColumn name="Column1" id="1"/>
    <tableColumn name="Column2" id="2"/>
    <tableColumn name="Column3" id="3"/>
    <tableColumn name="Column4" id="4"/>
    <tableColumn name="Column5" id="5"/>
    <tableColumn name="Column6" id="6"/>
    <tableColumn name="Column7" id="7"/>
  </tableColumns>
  <tableStyleInfo name="Jadwal Kuliah-style 2"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R6:X6" displayName="Jadwal_Kuliah_Semester_3" name="Jadwal_Kuliah_Semester_3" id="11">
  <tableColumns count="7">
    <tableColumn name="Column1" id="1"/>
    <tableColumn name="Column2" id="2"/>
    <tableColumn name="Column3" id="3"/>
    <tableColumn name="Column4" id="4"/>
    <tableColumn name="Column5" id="5"/>
    <tableColumn name="Column6" id="6"/>
    <tableColumn name="Column7" id="7"/>
  </tableColumns>
  <tableStyleInfo name="Jadwal Kuliah-style 3"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B17:H17" displayName="Jadwal_Kuliah_Semester_4" name="Jadwal_Kuliah_Semester_4" id="12">
  <tableColumns count="7">
    <tableColumn name="Column1" id="1"/>
    <tableColumn name="Column2" id="2"/>
    <tableColumn name="Column3" id="3"/>
    <tableColumn name="Column4" id="4"/>
    <tableColumn name="Column5" id="5"/>
    <tableColumn name="Column6" id="6"/>
    <tableColumn name="Column7" id="7"/>
  </tableColumns>
  <tableStyleInfo name="Jadwal Kuliah-style 4"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ref="J17:P18" displayName="Jadwal_Kuliah_Semester_5" name="Jadwal_Kuliah_Semester_5" id="13">
  <tableColumns count="7">
    <tableColumn name="Mata Kuliah" id="1"/>
    <tableColumn name="Hari" id="2"/>
    <tableColumn name="SKS" id="3"/>
    <tableColumn name="Waktu" id="4"/>
    <tableColumn name="Keterangan" id="5"/>
    <tableColumn name="Kehadiran" id="6"/>
    <tableColumn name="Progress" id="7"/>
  </tableColumns>
  <tableStyleInfo name="Jadwal Kuliah-style 5" showColumnStripes="0" showFirstColumn="1" showLastColumn="1" showRowStripes="1"/>
</table>
</file>

<file path=xl/tables/table14.xml><?xml version="1.0" encoding="utf-8"?>
<table xmlns="http://schemas.openxmlformats.org/spreadsheetml/2006/main" ref="R17:X18" displayName="Jadwal_Kuliah_Semester_6" name="Jadwal_Kuliah_Semester_6" id="14">
  <tableColumns count="7">
    <tableColumn name="Mata Kuliah" id="1"/>
    <tableColumn name="Hari" id="2"/>
    <tableColumn name="SKS" id="3"/>
    <tableColumn name="Waktu" id="4"/>
    <tableColumn name="Keterangan" id="5"/>
    <tableColumn name="Kehadiran" id="6"/>
    <tableColumn name="Progress" id="7"/>
  </tableColumns>
  <tableStyleInfo name="Jadwal Kuliah-style 6" showColumnStripes="0" showFirstColumn="1" showLastColumn="1" showRowStripes="1"/>
</table>
</file>

<file path=xl/tables/table15.xml><?xml version="1.0" encoding="utf-8"?>
<table xmlns="http://schemas.openxmlformats.org/spreadsheetml/2006/main" ref="B29:H30" displayName="Jadwal_Kuliah_Semester_7" name="Jadwal_Kuliah_Semester_7" id="15">
  <tableColumns count="7">
    <tableColumn name="Mata Kuliah" id="1"/>
    <tableColumn name="Hari" id="2"/>
    <tableColumn name="SKS" id="3"/>
    <tableColumn name="Waktu" id="4"/>
    <tableColumn name="Keterangan" id="5"/>
    <tableColumn name="Kehadiran" id="6"/>
    <tableColumn name="Progress" id="7"/>
  </tableColumns>
  <tableStyleInfo name="Jadwal Kuliah-style 7" showColumnStripes="0" showFirstColumn="1" showLastColumn="1" showRowStripes="1"/>
</table>
</file>

<file path=xl/tables/table16.xml><?xml version="1.0" encoding="utf-8"?>
<table xmlns="http://schemas.openxmlformats.org/spreadsheetml/2006/main" ref="J29:P30" displayName="Jadwal_Kuliah_Semester_8" name="Jadwal_Kuliah_Semester_8" id="16">
  <tableColumns count="7">
    <tableColumn name="Mata Kuliah" id="1"/>
    <tableColumn name="Hari" id="2"/>
    <tableColumn name="SKS" id="3"/>
    <tableColumn name="Waktu" id="4"/>
    <tableColumn name="Keterangan" id="5"/>
    <tableColumn name="Kehadiran" id="6"/>
    <tableColumn name="Progress" id="7"/>
  </tableColumns>
  <tableStyleInfo name="Jadwal Kuliah-style 8" showColumnStripes="0" showFirstColumn="1" showLastColumn="1" showRowStripes="1"/>
</table>
</file>

<file path=xl/tables/table17.xml><?xml version="1.0" encoding="utf-8"?>
<table xmlns="http://schemas.openxmlformats.org/spreadsheetml/2006/main" ref="C4:D5" displayName="Tracker" name="Tracker" id="17">
  <tableColumns count="2">
    <tableColumn name="Matkul" id="1"/>
    <tableColumn name="Semester" id="2"/>
  </tableColumns>
  <tableStyleInfo name="Tracking Matkul-style" showColumnStripes="0" showFirstColumn="1" showLastColumn="1" showRowStripes="1"/>
</table>
</file>

<file path=xl/tables/table18.xml><?xml version="1.0" encoding="utf-8"?>
<table xmlns="http://schemas.openxmlformats.org/spreadsheetml/2006/main" ref="A7:H8" displayName="Tracking" name="Tracking" id="18">
  <tableColumns count="8">
    <tableColumn name="Tugas 1" id="1"/>
    <tableColumn name="Quiz 1" id="2"/>
    <tableColumn name="UTS" id="3"/>
    <tableColumn name="Tugas 2" id="4"/>
    <tableColumn name="Quiz 2" id="5"/>
    <tableColumn name="Uas" id="6"/>
    <tableColumn name="Praktikum" id="7"/>
    <tableColumn name="Remedial" id="8"/>
  </tableColumns>
  <tableStyleInfo name="Tracking Matkul-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5.xml"/><Relationship Id="rId6" Type="http://schemas.openxmlformats.org/officeDocument/2006/relationships/table" Target="../tables/table8.xml"/><Relationship Id="rId7"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7.xml"/><Relationship Id="rId5"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3.38"/>
    <col customWidth="1" min="3" max="3" width="15.13"/>
    <col customWidth="1" min="10" max="10" width="14.63"/>
    <col customWidth="1" min="15" max="15" width="11.88"/>
  </cols>
  <sheetData>
    <row r="1" ht="23.25" customHeight="1">
      <c r="A1" s="1" t="s">
        <v>0</v>
      </c>
      <c r="B1" s="2" t="s">
        <v>1</v>
      </c>
      <c r="C1" s="3" t="s">
        <v>2</v>
      </c>
      <c r="D1" s="2" t="s">
        <v>3</v>
      </c>
      <c r="E1" s="2" t="s">
        <v>4</v>
      </c>
      <c r="F1" s="3" t="s">
        <v>5</v>
      </c>
      <c r="G1" s="2" t="s">
        <v>6</v>
      </c>
      <c r="H1" s="2" t="s">
        <v>7</v>
      </c>
      <c r="I1" s="4"/>
      <c r="J1" s="4"/>
      <c r="K1" s="4"/>
      <c r="L1" s="4"/>
      <c r="M1" s="4"/>
      <c r="N1" s="4"/>
      <c r="O1" s="4"/>
    </row>
    <row r="2">
      <c r="A2" s="5"/>
      <c r="B2" s="5"/>
      <c r="C2" s="5"/>
      <c r="D2" s="5"/>
      <c r="E2" s="5"/>
      <c r="F2" s="5"/>
      <c r="G2" s="5"/>
      <c r="H2" s="5"/>
      <c r="I2" s="5"/>
      <c r="J2" s="5"/>
      <c r="K2" s="6" t="s">
        <v>8</v>
      </c>
      <c r="L2" s="5"/>
      <c r="M2" s="5"/>
      <c r="N2" s="5"/>
      <c r="O2" s="5"/>
    </row>
    <row r="3">
      <c r="A3" s="6" t="s">
        <v>9</v>
      </c>
      <c r="B3" s="5"/>
      <c r="C3" s="5"/>
      <c r="D3" s="6" t="s">
        <v>10</v>
      </c>
      <c r="E3" s="5"/>
      <c r="F3" s="5"/>
      <c r="G3" s="5"/>
      <c r="H3" s="5"/>
      <c r="I3" s="5"/>
      <c r="J3" s="5"/>
      <c r="K3" s="5"/>
      <c r="L3" s="6" t="s">
        <v>8</v>
      </c>
      <c r="M3" s="5"/>
      <c r="N3" s="5"/>
      <c r="O3" s="5"/>
    </row>
    <row r="4">
      <c r="A4" s="5"/>
      <c r="B4" s="5"/>
      <c r="C4" s="5"/>
      <c r="D4" s="5"/>
      <c r="E4" s="5"/>
      <c r="F4" s="5"/>
      <c r="G4" s="6" t="s">
        <v>11</v>
      </c>
      <c r="H4" s="5"/>
      <c r="I4" s="5"/>
      <c r="J4" s="5"/>
      <c r="K4" s="5"/>
      <c r="L4" s="5"/>
      <c r="M4" s="5"/>
      <c r="N4" s="5"/>
      <c r="O4" s="5"/>
    </row>
    <row r="5">
      <c r="A5" s="7"/>
      <c r="B5" s="7"/>
      <c r="C5" s="7"/>
      <c r="D5" s="7"/>
      <c r="E5" s="7"/>
      <c r="F5" s="8" t="s">
        <v>8</v>
      </c>
      <c r="G5" s="7"/>
      <c r="H5" s="7"/>
      <c r="I5" s="7"/>
      <c r="J5" s="7"/>
      <c r="K5" s="8" t="s">
        <v>12</v>
      </c>
      <c r="L5" s="7"/>
      <c r="M5" s="7"/>
      <c r="N5" s="7"/>
      <c r="O5" s="7"/>
    </row>
    <row r="6">
      <c r="A6" s="7"/>
      <c r="B6" s="7"/>
      <c r="C6" s="8" t="s">
        <v>8</v>
      </c>
      <c r="D6" s="7"/>
      <c r="E6" s="7"/>
      <c r="F6" s="7"/>
      <c r="G6" s="7"/>
      <c r="H6" s="7"/>
      <c r="I6" s="8" t="s">
        <v>8</v>
      </c>
      <c r="J6" s="7"/>
      <c r="K6" s="7"/>
      <c r="L6" s="7"/>
      <c r="M6" s="7"/>
      <c r="N6" s="7"/>
      <c r="O6" s="8" t="s">
        <v>13</v>
      </c>
    </row>
    <row r="7">
      <c r="A7" s="7"/>
      <c r="B7" s="9"/>
      <c r="C7" s="7"/>
      <c r="D7" s="7"/>
      <c r="E7" s="7"/>
      <c r="F7" s="7"/>
      <c r="G7" s="7"/>
      <c r="H7" s="7"/>
      <c r="I7" s="7"/>
      <c r="J7" s="7"/>
      <c r="K7" s="7"/>
      <c r="L7" s="10"/>
      <c r="M7" s="7"/>
      <c r="N7" s="7"/>
      <c r="O7" s="7"/>
    </row>
    <row r="8">
      <c r="A8" s="7"/>
      <c r="B8" s="8" t="s">
        <v>9</v>
      </c>
      <c r="C8" s="7"/>
      <c r="D8" s="7"/>
      <c r="E8" s="11"/>
      <c r="F8" s="12"/>
      <c r="G8" s="12"/>
      <c r="H8" s="12"/>
      <c r="I8" s="12"/>
      <c r="J8" s="13" t="s">
        <v>10</v>
      </c>
      <c r="K8" s="8" t="s">
        <v>13</v>
      </c>
      <c r="L8" s="7"/>
      <c r="M8" s="8" t="s">
        <v>14</v>
      </c>
      <c r="N8" s="7"/>
      <c r="O8" s="7"/>
    </row>
    <row r="9">
      <c r="A9" s="14"/>
      <c r="B9" s="14"/>
      <c r="C9" s="14"/>
      <c r="D9" s="14"/>
      <c r="E9" s="15"/>
      <c r="F9" s="16"/>
      <c r="G9" s="16"/>
      <c r="H9" s="17" t="s">
        <v>8</v>
      </c>
      <c r="I9" s="16"/>
      <c r="J9" s="18"/>
      <c r="K9" s="19" t="s">
        <v>15</v>
      </c>
      <c r="L9" s="14"/>
      <c r="M9" s="14"/>
      <c r="N9" s="14"/>
      <c r="O9" s="14"/>
    </row>
    <row r="10">
      <c r="A10" s="19" t="s">
        <v>8</v>
      </c>
      <c r="B10" s="14"/>
      <c r="C10" s="14"/>
      <c r="D10" s="14"/>
      <c r="E10" s="20" t="s">
        <v>16</v>
      </c>
      <c r="F10" s="21" t="s">
        <v>17</v>
      </c>
      <c r="G10" s="22"/>
      <c r="H10" s="23"/>
      <c r="I10" s="23"/>
      <c r="J10" s="24"/>
      <c r="K10" s="25" t="s">
        <v>8</v>
      </c>
      <c r="L10" s="14"/>
      <c r="M10" s="14"/>
      <c r="N10" s="19" t="s">
        <v>18</v>
      </c>
      <c r="O10" s="14"/>
    </row>
    <row r="11">
      <c r="A11" s="14"/>
      <c r="B11" s="14"/>
      <c r="C11" s="14"/>
      <c r="D11" s="19" t="s">
        <v>19</v>
      </c>
      <c r="E11" s="26"/>
      <c r="F11" s="27" t="s">
        <v>20</v>
      </c>
      <c r="G11" s="28" t="s">
        <v>21</v>
      </c>
      <c r="H11" s="23"/>
      <c r="I11" s="17" t="s">
        <v>9</v>
      </c>
      <c r="J11" s="18"/>
      <c r="K11" s="14"/>
      <c r="L11" s="19" t="s">
        <v>22</v>
      </c>
      <c r="M11" s="14"/>
      <c r="N11" s="14"/>
      <c r="O11" s="14"/>
    </row>
    <row r="12">
      <c r="A12" s="14"/>
      <c r="B12" s="14"/>
      <c r="C12" s="14"/>
      <c r="D12" s="14"/>
      <c r="E12" s="29" t="s">
        <v>23</v>
      </c>
      <c r="F12" s="27" t="s">
        <v>24</v>
      </c>
      <c r="G12" s="30" t="s">
        <v>25</v>
      </c>
      <c r="H12" s="23"/>
      <c r="I12" s="16"/>
      <c r="J12" s="18"/>
      <c r="K12" s="14"/>
      <c r="L12" s="14"/>
      <c r="M12" s="14"/>
      <c r="N12" s="14"/>
      <c r="O12" s="14"/>
    </row>
    <row r="13">
      <c r="A13" s="31"/>
      <c r="B13" s="31"/>
      <c r="C13" s="31"/>
      <c r="D13" s="31"/>
      <c r="E13" s="32" t="s">
        <v>19</v>
      </c>
      <c r="F13" s="33"/>
      <c r="G13" s="33"/>
      <c r="H13" s="33"/>
      <c r="I13" s="33"/>
      <c r="J13" s="34" t="s">
        <v>26</v>
      </c>
      <c r="K13" s="35" t="s">
        <v>27</v>
      </c>
      <c r="L13" s="31"/>
      <c r="M13" s="31"/>
      <c r="N13" s="31"/>
      <c r="O13" s="31"/>
    </row>
    <row r="14">
      <c r="A14" s="31"/>
      <c r="B14" s="35" t="s">
        <v>18</v>
      </c>
      <c r="C14" s="31"/>
      <c r="D14" s="31"/>
      <c r="E14" s="36"/>
      <c r="F14" s="37" t="s">
        <v>28</v>
      </c>
      <c r="G14" s="33"/>
      <c r="H14" s="33"/>
      <c r="I14" s="37" t="s">
        <v>8</v>
      </c>
      <c r="J14" s="38"/>
      <c r="K14" s="35" t="s">
        <v>29</v>
      </c>
      <c r="L14" s="31"/>
      <c r="M14" s="31"/>
      <c r="N14" s="31"/>
      <c r="O14" s="35" t="s">
        <v>30</v>
      </c>
    </row>
    <row r="15">
      <c r="A15" s="31"/>
      <c r="B15" s="31"/>
      <c r="C15" s="35" t="s">
        <v>31</v>
      </c>
      <c r="D15" s="31"/>
      <c r="E15" s="36"/>
      <c r="F15" s="37" t="s">
        <v>29</v>
      </c>
      <c r="G15" s="37"/>
      <c r="H15" s="33"/>
      <c r="I15" s="33"/>
      <c r="J15" s="38"/>
      <c r="K15" s="31"/>
      <c r="L15" s="31"/>
      <c r="M15" s="31"/>
      <c r="N15" s="31"/>
      <c r="O15" s="31"/>
    </row>
    <row r="16">
      <c r="A16" s="31"/>
      <c r="B16" s="31"/>
      <c r="C16" s="31"/>
      <c r="D16" s="31"/>
      <c r="E16" s="36"/>
      <c r="F16" s="33"/>
      <c r="G16" s="37" t="s">
        <v>32</v>
      </c>
      <c r="H16" s="33"/>
      <c r="I16" s="33"/>
      <c r="J16" s="34" t="s">
        <v>8</v>
      </c>
      <c r="K16" s="31"/>
      <c r="L16" s="31"/>
      <c r="M16" s="31"/>
      <c r="N16" s="35" t="s">
        <v>8</v>
      </c>
      <c r="O16" s="31"/>
    </row>
    <row r="17">
      <c r="A17" s="39"/>
      <c r="B17" s="39"/>
      <c r="C17" s="39"/>
      <c r="D17" s="39"/>
      <c r="E17" s="36"/>
      <c r="F17" s="33"/>
      <c r="G17" s="37" t="s">
        <v>23</v>
      </c>
      <c r="H17" s="37" t="s">
        <v>8</v>
      </c>
      <c r="I17" s="33"/>
      <c r="J17" s="38"/>
      <c r="K17" s="39"/>
      <c r="L17" s="39"/>
      <c r="M17" s="39"/>
      <c r="N17" s="39"/>
      <c r="O17" s="39"/>
    </row>
    <row r="18">
      <c r="A18" s="39"/>
      <c r="B18" s="39"/>
      <c r="C18" s="39"/>
      <c r="D18" s="39"/>
      <c r="E18" s="36"/>
      <c r="F18" s="33"/>
      <c r="G18" s="33"/>
      <c r="H18" s="33"/>
      <c r="I18" s="37" t="s">
        <v>15</v>
      </c>
      <c r="J18" s="38"/>
      <c r="K18" s="39"/>
      <c r="L18" s="39"/>
      <c r="M18" s="40" t="s">
        <v>8</v>
      </c>
      <c r="N18" s="39"/>
      <c r="O18" s="39"/>
    </row>
    <row r="19">
      <c r="A19" s="39"/>
      <c r="B19" s="39"/>
      <c r="C19" s="40" t="s">
        <v>8</v>
      </c>
      <c r="D19" s="39"/>
      <c r="E19" s="41"/>
      <c r="F19" s="42" t="s">
        <v>33</v>
      </c>
      <c r="G19" s="43"/>
      <c r="H19" s="43"/>
      <c r="I19" s="43"/>
      <c r="J19" s="44"/>
      <c r="K19" s="39"/>
      <c r="L19" s="39"/>
      <c r="M19" s="39"/>
      <c r="N19" s="39"/>
      <c r="O19" s="39"/>
    </row>
    <row r="20">
      <c r="A20" s="39"/>
      <c r="B20" s="39"/>
      <c r="C20" s="39"/>
      <c r="D20" s="39"/>
      <c r="E20" s="39"/>
      <c r="F20" s="39"/>
      <c r="G20" s="39"/>
      <c r="H20" s="39"/>
      <c r="I20" s="39"/>
      <c r="J20" s="39"/>
      <c r="K20" s="39"/>
      <c r="L20" s="39"/>
      <c r="M20" s="39"/>
      <c r="N20" s="39"/>
      <c r="O20" s="39"/>
    </row>
    <row r="21">
      <c r="A21" s="45" t="s">
        <v>26</v>
      </c>
      <c r="B21" s="46"/>
      <c r="C21" s="46"/>
      <c r="D21" s="46"/>
      <c r="E21" s="45" t="s">
        <v>34</v>
      </c>
      <c r="F21" s="46"/>
      <c r="G21" s="46"/>
      <c r="H21" s="46"/>
      <c r="I21" s="45" t="s">
        <v>8</v>
      </c>
      <c r="J21" s="46"/>
      <c r="K21" s="46"/>
      <c r="L21" s="46"/>
      <c r="M21" s="46"/>
      <c r="N21" s="46"/>
      <c r="O21" s="46"/>
    </row>
    <row r="22">
      <c r="A22" s="45" t="s">
        <v>35</v>
      </c>
      <c r="B22" s="46"/>
      <c r="C22" s="46"/>
      <c r="D22" s="46"/>
      <c r="E22" s="46"/>
      <c r="F22" s="46"/>
      <c r="G22" s="46"/>
      <c r="H22" s="46"/>
      <c r="I22" s="46"/>
      <c r="J22" s="46"/>
      <c r="K22" s="46"/>
      <c r="L22" s="45" t="s">
        <v>8</v>
      </c>
      <c r="M22" s="46"/>
      <c r="N22" s="46"/>
      <c r="O22" s="46"/>
    </row>
    <row r="23">
      <c r="A23" s="46"/>
      <c r="B23" s="46"/>
      <c r="C23" s="46"/>
      <c r="D23" s="46"/>
      <c r="E23" s="46"/>
      <c r="F23" s="46"/>
      <c r="G23" s="46"/>
      <c r="H23" s="46"/>
      <c r="I23" s="46"/>
      <c r="J23" s="46"/>
      <c r="K23" s="46"/>
      <c r="L23" s="46"/>
      <c r="M23" s="46"/>
      <c r="N23" s="46"/>
      <c r="O23" s="45" t="s">
        <v>8</v>
      </c>
    </row>
    <row r="24">
      <c r="A24" s="46"/>
      <c r="B24" s="46"/>
      <c r="C24" s="46"/>
      <c r="D24" s="46"/>
      <c r="E24" s="46"/>
      <c r="F24" s="46"/>
      <c r="G24" s="46"/>
      <c r="H24" s="46"/>
      <c r="I24" s="46"/>
      <c r="J24" s="46"/>
      <c r="K24" s="46"/>
      <c r="L24" s="46"/>
      <c r="M24" s="46"/>
      <c r="N24" s="46"/>
      <c r="O24" s="46"/>
    </row>
  </sheetData>
  <conditionalFormatting sqref="A1:O24">
    <cfRule type="colorScale" priority="1">
      <colorScale>
        <cfvo type="formula" val="0"/>
        <cfvo type="formula" val="50"/>
        <cfvo type="formula" val="100"/>
        <color rgb="FF1A1B2F"/>
        <color rgb="FF5F2EEA"/>
        <color rgb="FFB980F0"/>
      </colorScale>
    </cfRule>
  </conditionalFormatting>
  <hyperlinks>
    <hyperlink display="HOME" location="Home!A1" ref="A1"/>
    <hyperlink display="DASHBOARD" location="Dashboard!A1" ref="B1"/>
    <hyperlink display="ENTRY DATA" location="'Entry Data'!A1" ref="C1"/>
    <hyperlink display="DATA BASE" location="Database!A1" ref="D1"/>
    <hyperlink display="GRAPH" location="Graph!A1" ref="E1"/>
    <hyperlink display="JADWAL" location="'Jadwal Kuliah'!A1" ref="F1"/>
    <hyperlink display="KALENDER" location="'Kalender '!A1" ref="G1"/>
    <hyperlink display="TRACKER" location="'Tracking Matkul'!A1" ref="H1"/>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3.75"/>
    <col customWidth="1" min="3" max="3" width="16.38"/>
    <col customWidth="1" min="4" max="4" width="13.5"/>
    <col customWidth="1" min="5" max="5" width="14.25"/>
    <col customWidth="1" min="6" max="6" width="13.63"/>
    <col customWidth="1" min="7" max="7" width="16.0"/>
    <col customWidth="1" min="9" max="9" width="13.75"/>
    <col customWidth="1" min="11" max="11" width="15.5"/>
    <col customWidth="1" min="13" max="13" width="15.63"/>
    <col customWidth="1" min="14" max="14" width="16.5"/>
    <col customWidth="1" min="16" max="16" width="13.38"/>
    <col customWidth="1" min="17" max="17" width="12.63"/>
    <col customWidth="1" min="18" max="18" width="12.88"/>
    <col customWidth="1" min="19" max="19" width="15.0"/>
    <col customWidth="1" min="20" max="20" width="12.75"/>
    <col customWidth="1" min="21" max="21" width="11.88"/>
  </cols>
  <sheetData>
    <row r="1">
      <c r="A1" s="1" t="s">
        <v>0</v>
      </c>
      <c r="B1" s="2" t="s">
        <v>1</v>
      </c>
      <c r="C1" s="3" t="s">
        <v>2</v>
      </c>
      <c r="D1" s="2" t="s">
        <v>3</v>
      </c>
      <c r="E1" s="2" t="s">
        <v>4</v>
      </c>
      <c r="F1" s="3" t="s">
        <v>5</v>
      </c>
      <c r="G1" s="2" t="s">
        <v>6</v>
      </c>
      <c r="H1" s="2" t="s">
        <v>7</v>
      </c>
      <c r="I1" s="4"/>
      <c r="J1" s="4"/>
      <c r="K1" s="4"/>
      <c r="L1" s="4"/>
      <c r="M1" s="4"/>
      <c r="N1" s="4"/>
      <c r="O1" s="4"/>
      <c r="P1" s="4"/>
      <c r="Q1" s="47" t="s">
        <v>8</v>
      </c>
      <c r="R1" s="4"/>
      <c r="S1" s="4"/>
      <c r="T1" s="4"/>
      <c r="U1" s="4"/>
    </row>
    <row r="2">
      <c r="A2" s="4"/>
      <c r="B2" s="4"/>
      <c r="C2" s="4"/>
      <c r="D2" s="4"/>
      <c r="E2" s="4"/>
      <c r="F2" s="4"/>
      <c r="G2" s="4"/>
      <c r="H2" s="4"/>
      <c r="I2" s="4"/>
      <c r="J2" s="4"/>
      <c r="K2" s="48"/>
      <c r="L2" s="48"/>
      <c r="M2" s="48"/>
      <c r="N2" s="49"/>
      <c r="O2" s="49"/>
      <c r="P2" s="49"/>
      <c r="Q2" s="49"/>
      <c r="R2" s="49"/>
      <c r="S2" s="49"/>
      <c r="T2" s="5"/>
      <c r="U2" s="5"/>
    </row>
    <row r="3">
      <c r="A3" s="4"/>
      <c r="B3" s="4"/>
      <c r="C3" s="4"/>
      <c r="D3" s="4"/>
      <c r="E3" s="4"/>
      <c r="F3" s="4"/>
      <c r="G3" s="4"/>
      <c r="H3" s="4"/>
      <c r="I3" s="4"/>
      <c r="J3" s="50" t="s">
        <v>8</v>
      </c>
      <c r="K3" s="48"/>
      <c r="L3" s="48"/>
      <c r="M3" s="48"/>
      <c r="N3" s="51" t="s">
        <v>8</v>
      </c>
      <c r="O3" s="49"/>
      <c r="P3" s="49"/>
      <c r="Q3" s="49"/>
      <c r="R3" s="49"/>
      <c r="S3" s="49"/>
      <c r="T3" s="5"/>
      <c r="U3" s="6" t="s">
        <v>8</v>
      </c>
    </row>
    <row r="4">
      <c r="A4" s="4"/>
      <c r="B4" s="4"/>
      <c r="C4" s="52" t="s">
        <v>36</v>
      </c>
      <c r="D4" s="4"/>
      <c r="E4" s="53">
        <v>1.0</v>
      </c>
      <c r="F4" s="4"/>
      <c r="G4" s="4"/>
      <c r="H4" s="4"/>
      <c r="I4" s="4"/>
      <c r="J4" s="4"/>
      <c r="K4" s="50" t="s">
        <v>8</v>
      </c>
      <c r="L4" s="4"/>
      <c r="M4" s="48"/>
      <c r="N4" s="51"/>
      <c r="O4" s="51"/>
      <c r="P4" s="51"/>
      <c r="Q4" s="51"/>
      <c r="R4" s="51"/>
      <c r="S4" s="5"/>
      <c r="T4" s="5"/>
      <c r="U4" s="5"/>
    </row>
    <row r="5">
      <c r="A5" s="4"/>
      <c r="B5" s="4"/>
      <c r="C5" s="4"/>
      <c r="D5" s="4"/>
      <c r="E5" s="4"/>
      <c r="F5" s="4"/>
      <c r="G5" s="4"/>
      <c r="H5" s="4"/>
      <c r="I5" s="4"/>
      <c r="J5" s="4"/>
      <c r="K5" s="4"/>
      <c r="L5" s="4"/>
      <c r="M5" s="48"/>
      <c r="N5" s="51"/>
      <c r="O5" s="51"/>
      <c r="P5" s="51"/>
      <c r="Q5" s="51"/>
      <c r="R5" s="51"/>
      <c r="S5" s="5"/>
      <c r="T5" s="5"/>
      <c r="U5" s="5"/>
    </row>
    <row r="6" ht="22.5" customHeight="1">
      <c r="A6" s="4"/>
      <c r="B6" s="4"/>
      <c r="C6" s="4"/>
      <c r="D6" s="4"/>
      <c r="E6" s="4"/>
      <c r="F6" s="4"/>
      <c r="G6" s="4"/>
      <c r="H6" s="6" t="s">
        <v>37</v>
      </c>
      <c r="I6" s="4"/>
      <c r="J6" s="48"/>
      <c r="K6" s="51"/>
      <c r="L6" s="51"/>
      <c r="M6" s="51"/>
      <c r="N6" s="51"/>
      <c r="O6" s="6" t="s">
        <v>38</v>
      </c>
      <c r="P6" s="5"/>
      <c r="Q6" s="5"/>
      <c r="R6" s="5"/>
      <c r="S6" s="5"/>
      <c r="T6" s="5"/>
      <c r="U6" s="5"/>
    </row>
    <row r="7" ht="22.5" customHeight="1">
      <c r="A7" s="7"/>
      <c r="B7" s="54" t="s">
        <v>39</v>
      </c>
      <c r="C7" s="55"/>
      <c r="D7" s="56"/>
      <c r="E7" s="7"/>
      <c r="F7" s="57" t="s">
        <v>40</v>
      </c>
      <c r="G7" s="57" t="s">
        <v>41</v>
      </c>
      <c r="H7" s="57" t="s">
        <v>42</v>
      </c>
      <c r="I7" s="57" t="s">
        <v>43</v>
      </c>
      <c r="J7" s="57" t="s">
        <v>44</v>
      </c>
      <c r="K7" s="57" t="s">
        <v>45</v>
      </c>
      <c r="L7" s="7"/>
      <c r="M7" s="57" t="s">
        <v>46</v>
      </c>
      <c r="N7" s="57" t="s">
        <v>41</v>
      </c>
      <c r="O7" s="57" t="s">
        <v>47</v>
      </c>
      <c r="P7" s="57" t="s">
        <v>48</v>
      </c>
      <c r="Q7" s="57" t="s">
        <v>49</v>
      </c>
      <c r="R7" s="7"/>
      <c r="S7" s="7"/>
      <c r="T7" s="7"/>
      <c r="U7" s="7"/>
    </row>
    <row r="8" ht="22.5" customHeight="1">
      <c r="A8" s="58" t="s">
        <v>8</v>
      </c>
      <c r="B8" s="59">
        <f>IFERROR(AVERAGEIF(Database!B:B, E4, Database!H:H), "")
</f>
        <v>0.9711538462</v>
      </c>
      <c r="D8" s="60"/>
      <c r="E8" s="7"/>
      <c r="F8" s="61">
        <f>IFERROR(__xludf.DUMMYFUNCTION("FILTER(Database!B6:G60, Database!B6:B60 = E4)
"),1.0)</f>
        <v>1</v>
      </c>
      <c r="G8" s="62" t="str">
        <f>IFERROR(__xludf.DUMMYFUNCTION("""COMPUTED_VALUE"""),"Literasi Digital")</f>
        <v>Literasi Digital</v>
      </c>
      <c r="H8" s="61" t="str">
        <f>IFERROR(__xludf.DUMMYFUNCTION("""COMPUTED_VALUE"""),"Senin")</f>
        <v>Senin</v>
      </c>
      <c r="I8" s="61">
        <f>IFERROR(__xludf.DUMMYFUNCTION("""COMPUTED_VALUE"""),3.0)</f>
        <v>3</v>
      </c>
      <c r="J8" s="61" t="str">
        <f>IFERROR(__xludf.DUMMYFUNCTION("""COMPUTED_VALUE"""),"07.00-08.40")</f>
        <v>07.00-08.40</v>
      </c>
      <c r="K8" s="61" t="str">
        <f>IFERROR(__xludf.DUMMYFUNCTION("""COMPUTED_VALUE"""),"Online")</f>
        <v>Online</v>
      </c>
      <c r="L8" s="7"/>
      <c r="M8" s="63" t="str">
        <f>IFERROR(__xludf.DUMMYFUNCTION("QUERY(
  'Entry Data'!H:Q,
  ""select J, K, M, O, Q
   where L &lt;&gt; 'Selesai'
     and M = 'Tinggi'
     and O &gt;= date '"" &amp; TEXT(TODAY(),""yyyy-MM-dd"") &amp; ""'
   order by O asc
   limit 3"",
  1
)"),"#N/A")</f>
        <v>#N/A</v>
      </c>
      <c r="N8" s="63"/>
      <c r="O8" s="63"/>
      <c r="P8" s="64"/>
      <c r="Q8" s="63"/>
      <c r="R8" s="7"/>
      <c r="S8" s="8" t="s">
        <v>8</v>
      </c>
      <c r="T8" s="7"/>
      <c r="U8" s="7"/>
    </row>
    <row r="9" ht="22.5" customHeight="1">
      <c r="A9" s="7"/>
      <c r="B9" s="65"/>
      <c r="D9" s="60"/>
      <c r="E9" s="7"/>
      <c r="F9" s="66">
        <f>IFERROR(__xludf.DUMMYFUNCTION("""COMPUTED_VALUE"""),1.0)</f>
        <v>1</v>
      </c>
      <c r="G9" s="67" t="str">
        <f>IFERROR(__xludf.DUMMYFUNCTION("""COMPUTED_VALUE"""),"Matematika Diskrit")</f>
        <v>Matematika Diskrit</v>
      </c>
      <c r="H9" s="66" t="str">
        <f>IFERROR(__xludf.DUMMYFUNCTION("""COMPUTED_VALUE"""),"Senin")</f>
        <v>Senin</v>
      </c>
      <c r="I9" s="66">
        <f>IFERROR(__xludf.DUMMYFUNCTION("""COMPUTED_VALUE"""),3.0)</f>
        <v>3</v>
      </c>
      <c r="J9" s="66" t="str">
        <f>IFERROR(__xludf.DUMMYFUNCTION("""COMPUTED_VALUE"""),"09.30-12.00")</f>
        <v>09.30-12.00</v>
      </c>
      <c r="K9" s="66" t="str">
        <f>IFERROR(__xludf.DUMMYFUNCTION("""COMPUTED_VALUE"""),"E2.01.08")</f>
        <v>E2.01.08</v>
      </c>
      <c r="L9" s="7"/>
      <c r="M9" s="63"/>
      <c r="N9" s="63"/>
      <c r="O9" s="63"/>
      <c r="P9" s="64"/>
      <c r="Q9" s="63"/>
      <c r="R9" s="7"/>
      <c r="S9" s="7"/>
      <c r="T9" s="7"/>
      <c r="U9" s="7"/>
    </row>
    <row r="10" ht="22.5" customHeight="1">
      <c r="A10" s="7"/>
      <c r="B10" s="65"/>
      <c r="D10" s="60"/>
      <c r="E10" s="7"/>
      <c r="F10" s="66">
        <f>IFERROR(__xludf.DUMMYFUNCTION("""COMPUTED_VALUE"""),1.0)</f>
        <v>1</v>
      </c>
      <c r="G10" s="67" t="str">
        <f>IFERROR(__xludf.DUMMYFUNCTION("""COMPUTED_VALUE"""),"Pancasila")</f>
        <v>Pancasila</v>
      </c>
      <c r="H10" s="66" t="str">
        <f>IFERROR(__xludf.DUMMYFUNCTION("""COMPUTED_VALUE"""),"Selasa")</f>
        <v>Selasa</v>
      </c>
      <c r="I10" s="66">
        <f>IFERROR(__xludf.DUMMYFUNCTION("""COMPUTED_VALUE"""),3.0)</f>
        <v>3</v>
      </c>
      <c r="J10" s="66" t="str">
        <f>IFERROR(__xludf.DUMMYFUNCTION("""COMPUTED_VALUE"""),"10.20-12.00")</f>
        <v>10.20-12.00</v>
      </c>
      <c r="K10" s="66" t="str">
        <f>IFERROR(__xludf.DUMMYFUNCTION("""COMPUTED_VALUE"""),"Online")</f>
        <v>Online</v>
      </c>
      <c r="L10" s="7"/>
      <c r="M10" s="63"/>
      <c r="N10" s="63"/>
      <c r="O10" s="63"/>
      <c r="P10" s="64"/>
      <c r="Q10" s="63"/>
      <c r="R10" s="7"/>
      <c r="S10" s="7"/>
      <c r="T10" s="7"/>
      <c r="U10" s="8" t="s">
        <v>8</v>
      </c>
    </row>
    <row r="11">
      <c r="A11" s="7"/>
      <c r="B11" s="68"/>
      <c r="C11" s="69"/>
      <c r="D11" s="70"/>
      <c r="E11" s="7"/>
      <c r="F11" s="66">
        <f>IFERROR(__xludf.DUMMYFUNCTION("""COMPUTED_VALUE"""),1.0)</f>
        <v>1</v>
      </c>
      <c r="G11" s="67" t="str">
        <f>IFERROR(__xludf.DUMMYFUNCTION("""COMPUTED_VALUE"""),"Pemograman Dasar")</f>
        <v>Pemograman Dasar</v>
      </c>
      <c r="H11" s="66" t="str">
        <f>IFERROR(__xludf.DUMMYFUNCTION("""COMPUTED_VALUE"""),"Selasa")</f>
        <v>Selasa</v>
      </c>
      <c r="I11" s="66">
        <f>IFERROR(__xludf.DUMMYFUNCTION("""COMPUTED_VALUE"""),2.0)</f>
        <v>2</v>
      </c>
      <c r="J11" s="66" t="str">
        <f>IFERROR(__xludf.DUMMYFUNCTION("""COMPUTED_VALUE"""),"13.00-15.30")</f>
        <v>13.00-15.30</v>
      </c>
      <c r="K11" s="66" t="str">
        <f>IFERROR(__xludf.DUMMYFUNCTION("""COMPUTED_VALUE"""),"E2.01.07")</f>
        <v>E2.01.07</v>
      </c>
      <c r="L11" s="7"/>
      <c r="M11" s="7"/>
      <c r="N11" s="7"/>
      <c r="O11" s="8" t="s">
        <v>50</v>
      </c>
      <c r="P11" s="7"/>
      <c r="Q11" s="7"/>
      <c r="R11" s="7"/>
      <c r="S11" s="7"/>
      <c r="T11" s="7"/>
      <c r="U11" s="7"/>
    </row>
    <row r="12" ht="22.5" customHeight="1">
      <c r="A12" s="14"/>
      <c r="B12" s="14"/>
      <c r="C12" s="14"/>
      <c r="D12" s="14"/>
      <c r="E12" s="14"/>
      <c r="F12" s="66">
        <f>IFERROR(__xludf.DUMMYFUNCTION("""COMPUTED_VALUE"""),1.0)</f>
        <v>1</v>
      </c>
      <c r="G12" s="67" t="str">
        <f>IFERROR(__xludf.DUMMYFUNCTION("""COMPUTED_VALUE"""),"Praktikum")</f>
        <v>Praktikum</v>
      </c>
      <c r="H12" s="66" t="str">
        <f>IFERROR(__xludf.DUMMYFUNCTION("""COMPUTED_VALUE"""),"Rabu")</f>
        <v>Rabu</v>
      </c>
      <c r="I12" s="66">
        <f>IFERROR(__xludf.DUMMYFUNCTION("""COMPUTED_VALUE"""),2.0)</f>
        <v>2</v>
      </c>
      <c r="J12" s="66" t="str">
        <f>IFERROR(__xludf.DUMMYFUNCTION("""COMPUTED_VALUE"""),"15.30-17.10")</f>
        <v>15.30-17.10</v>
      </c>
      <c r="K12" s="66" t="str">
        <f>IFERROR(__xludf.DUMMYFUNCTION("""COMPUTED_VALUE"""),"C1.04")</f>
        <v>C1.04</v>
      </c>
      <c r="L12" s="14"/>
      <c r="M12" s="57" t="s">
        <v>46</v>
      </c>
      <c r="N12" s="57" t="s">
        <v>41</v>
      </c>
      <c r="O12" s="57" t="s">
        <v>51</v>
      </c>
      <c r="P12" s="57" t="s">
        <v>48</v>
      </c>
      <c r="Q12" s="57" t="s">
        <v>49</v>
      </c>
      <c r="R12" s="14"/>
      <c r="S12" s="14"/>
      <c r="T12" s="14"/>
      <c r="U12" s="14"/>
    </row>
    <row r="13" ht="22.5" customHeight="1">
      <c r="A13" s="14"/>
      <c r="B13" s="54" t="s">
        <v>52</v>
      </c>
      <c r="C13" s="55"/>
      <c r="D13" s="56"/>
      <c r="E13" s="14"/>
      <c r="F13" s="66">
        <f>IFERROR(__xludf.DUMMYFUNCTION("""COMPUTED_VALUE"""),1.0)</f>
        <v>1</v>
      </c>
      <c r="G13" s="67" t="str">
        <f>IFERROR(__xludf.DUMMYFUNCTION("""COMPUTED_VALUE"""),"Arsitektur Komputer dan Sistem Operasi")</f>
        <v>Arsitektur Komputer dan Sistem Operasi</v>
      </c>
      <c r="H13" s="66" t="str">
        <f>IFERROR(__xludf.DUMMYFUNCTION("""COMPUTED_VALUE"""),"Kamis")</f>
        <v>Kamis</v>
      </c>
      <c r="I13" s="66">
        <f>IFERROR(__xludf.DUMMYFUNCTION("""COMPUTED_VALUE"""),3.0)</f>
        <v>3</v>
      </c>
      <c r="J13" s="66" t="str">
        <f>IFERROR(__xludf.DUMMYFUNCTION("""COMPUTED_VALUE"""),"07.00-09.30")</f>
        <v>07.00-09.30</v>
      </c>
      <c r="K13" s="66" t="str">
        <f>IFERROR(__xludf.DUMMYFUNCTION("""COMPUTED_VALUE"""),"E2.01.08")</f>
        <v>E2.01.08</v>
      </c>
      <c r="L13" s="14"/>
      <c r="M13" s="63" t="str">
        <f>IFERROR(__xludf.DUMMYFUNCTION("INDEX( SORT( FILTER('Entry Data'!J:Q, 'Entry Data'!O:O &gt;= TODAY()), 6, TRUE ), ROWS($Q$17:Q17), 1 )"),"Libur Semester")</f>
        <v>Libur Semester</v>
      </c>
      <c r="N13" s="63" t="str">
        <f>IFERROR(__xludf.DUMMYFUNCTION("INDEX(
  SORT(
    FILTER('Entry Data'!J:Q, 'Entry Data'!O:O &gt;= TODAY()),
    6, TRUE
  ),
  ROWS($N$13:N13),
  2
)"),"Lain-lain")</f>
        <v>Lain-lain</v>
      </c>
      <c r="O13" s="64" t="str">
        <f>IFERROR(__xludf.DUMMYFUNCTION("INDEX(
  SORT(
    FILTER('Entry Data'!J:Q, 'Entry Data'!O:O &gt;= TODAY()),
    6, TRUE
  ),
  ROWS($N$13:N13),
  3
)
"),"Belum dimulai")</f>
        <v>Belum dimulai</v>
      </c>
      <c r="P13" s="71">
        <f>IFERROR(__xludf.DUMMYFUNCTION("INDEX(
  SORT(
    FILTER('Entry Data'!J:Q, 'Entry Data'!O:O &gt;= TODAY()),
    6, TRUE
  ),
  ROWS($N$13:N13),
  6
)
"),46075.0)</f>
        <v>46075</v>
      </c>
      <c r="Q13" s="63">
        <f>IFERROR(__xludf.DUMMYFUNCTION("INDEX(
  SORT(
    FILTER('Entry Data'!J:Q, 'Entry Data'!O:O &gt;= TODAY()),
    6, TRUE
  ),
  ROWS($N$13:N13),
  8
)
"),0.0)</f>
        <v>0</v>
      </c>
      <c r="R13" s="14"/>
      <c r="S13" s="19" t="s">
        <v>8</v>
      </c>
      <c r="T13" s="14"/>
      <c r="U13" s="14"/>
    </row>
    <row r="14" ht="22.5" customHeight="1">
      <c r="A14" s="14"/>
      <c r="B14" s="59">
        <f>IFERROR(AVERAGEIF(Database!B:B, E4, Database!I:I), "")
</f>
        <v>0.8125</v>
      </c>
      <c r="D14" s="60"/>
      <c r="E14" s="14"/>
      <c r="F14" s="66">
        <f>IFERROR(__xludf.DUMMYFUNCTION("""COMPUTED_VALUE"""),1.0)</f>
        <v>1</v>
      </c>
      <c r="G14" s="67" t="str">
        <f>IFERROR(__xludf.DUMMYFUNCTION("""COMPUTED_VALUE"""),"Aljabar Matriks")</f>
        <v>Aljabar Matriks</v>
      </c>
      <c r="H14" s="66" t="str">
        <f>IFERROR(__xludf.DUMMYFUNCTION("""COMPUTED_VALUE"""),"Kamis")</f>
        <v>Kamis</v>
      </c>
      <c r="I14" s="66">
        <f>IFERROR(__xludf.DUMMYFUNCTION("""COMPUTED_VALUE"""),3.0)</f>
        <v>3</v>
      </c>
      <c r="J14" s="66" t="str">
        <f>IFERROR(__xludf.DUMMYFUNCTION("""COMPUTED_VALUE"""),"09.30-12.00")</f>
        <v>09.30-12.00</v>
      </c>
      <c r="K14" s="66" t="str">
        <f>IFERROR(__xludf.DUMMYFUNCTION("""COMPUTED_VALUE"""),"E2.01.07")</f>
        <v>E2.01.07</v>
      </c>
      <c r="L14" s="14"/>
      <c r="M14" s="63" t="str">
        <f>IFERROR(__xludf.DUMMYFUNCTION("INDEX( SORT( FILTER('Entry Data'!J:Q, 'Entry Data'!O:O &gt;= TODAY()), 6, TRUE ), ROWS($Q$17:Q18), 1 )"),"")</f>
        <v/>
      </c>
      <c r="N14" s="63" t="str">
        <f>IFERROR(__xludf.DUMMYFUNCTION("INDEX(
  SORT(
    FILTER('Entry Data'!J:Q, 'Entry Data'!O:O &gt;= TODAY()),
    6, TRUE
  ),
  ROWS($N$13:N14),
  2
)"),"")</f>
        <v/>
      </c>
      <c r="O14" s="64" t="str">
        <f>IFERROR(__xludf.DUMMYFUNCTION("INDEX(
  SORT(
    FILTER('Entry Data'!J:Q, 'Entry Data'!O:O &gt;= TODAY()),
    6, TRUE
  ),
  ROWS($N$13:N14),
  3
)
"),"")</f>
        <v/>
      </c>
      <c r="P14" s="71" t="str">
        <f>IFERROR(__xludf.DUMMYFUNCTION("INDEX(
  SORT(
    FILTER('Entry Data'!J:Q, 'Entry Data'!O:O &gt;= TODAY()),
    6, TRUE
  ),
  ROWS($N$13:N14),
  6
)
"),"                        *")</f>
        <v>                        *</v>
      </c>
      <c r="Q14" s="63" t="str">
        <f>IFERROR(__xludf.DUMMYFUNCTION("INDEX(
  SORT(
    FILTER('Entry Data'!J:Q, 'Entry Data'!O:O &gt;= TODAY()),
    6, TRUE
  ),
  ROWS($N$13:N14),
  8
)
"),"")</f>
        <v/>
      </c>
      <c r="R14" s="14"/>
      <c r="S14" s="14"/>
      <c r="T14" s="14"/>
      <c r="U14" s="14"/>
    </row>
    <row r="15" ht="22.5" customHeight="1">
      <c r="A15" s="31"/>
      <c r="B15" s="65"/>
      <c r="D15" s="60"/>
      <c r="E15" s="31"/>
      <c r="F15" s="66">
        <f>IFERROR(__xludf.DUMMYFUNCTION("""COMPUTED_VALUE"""),1.0)</f>
        <v>1</v>
      </c>
      <c r="G15" s="67" t="str">
        <f>IFERROR(__xludf.DUMMYFUNCTION("""COMPUTED_VALUE"""),"Matematika Dasar")</f>
        <v>Matematika Dasar</v>
      </c>
      <c r="H15" s="66" t="str">
        <f>IFERROR(__xludf.DUMMYFUNCTION("""COMPUTED_VALUE"""),"Jumat")</f>
        <v>Jumat</v>
      </c>
      <c r="I15" s="66">
        <f>IFERROR(__xludf.DUMMYFUNCTION("""COMPUTED_VALUE"""),3.0)</f>
        <v>3</v>
      </c>
      <c r="J15" s="66" t="str">
        <f>IFERROR(__xludf.DUMMYFUNCTION("""COMPUTED_VALUE"""),"13.00-15.30")</f>
        <v>13.00-15.30</v>
      </c>
      <c r="K15" s="66" t="str">
        <f>IFERROR(__xludf.DUMMYFUNCTION("""COMPUTED_VALUE"""),"E2.01.10")</f>
        <v>E2.01.10</v>
      </c>
      <c r="L15" s="72" t="s">
        <v>8</v>
      </c>
      <c r="M15" s="63" t="str">
        <f>IFERROR(__xludf.DUMMYFUNCTION("INDEX( SORT( FILTER('Entry Data'!J:Q, 'Entry Data'!O:O &gt;= TODAY()), 6, TRUE ), ROWS($Q$17:Q19), 1 )"),"")</f>
        <v/>
      </c>
      <c r="N15" s="63" t="str">
        <f>IFERROR(__xludf.DUMMYFUNCTION("INDEX(
  SORT(
    FILTER('Entry Data'!J:Q, 'Entry Data'!O:O &gt;= TODAY()),
    6, TRUE
  ),
  ROWS($N$13:N15),
  2
)"),"")</f>
        <v/>
      </c>
      <c r="O15" s="64" t="str">
        <f>IFERROR(__xludf.DUMMYFUNCTION("INDEX(
  SORT(
    FILTER('Entry Data'!J:Q, 'Entry Data'!O:O &gt;= TODAY()),
    6, TRUE
  ),
  ROWS($N$13:N15),
  3
)
"),"")</f>
        <v/>
      </c>
      <c r="P15" s="71" t="str">
        <f>IFERROR(__xludf.DUMMYFUNCTION("INDEX(
  SORT(
    FILTER('Entry Data'!J:Q, 'Entry Data'!O:O &gt;= TODAY()),
    6, TRUE
  ),
  ROWS($N$13:N15),
  6
)
"),"*")</f>
        <v>*</v>
      </c>
      <c r="Q15" s="63" t="str">
        <f>IFERROR(__xludf.DUMMYFUNCTION("INDEX(
  SORT(
    FILTER('Entry Data'!J:Q, 'Entry Data'!O:O &gt;= TODAY()),
    6, TRUE
  ),
  ROWS($N$13:N15),
  8
)
"),"")</f>
        <v/>
      </c>
      <c r="R15" s="31"/>
      <c r="S15" s="31"/>
      <c r="T15" s="31"/>
      <c r="U15" s="31"/>
    </row>
    <row r="16" ht="22.5" customHeight="1">
      <c r="A16" s="31"/>
      <c r="B16" s="68"/>
      <c r="C16" s="69"/>
      <c r="D16" s="70"/>
      <c r="E16" s="31"/>
      <c r="F16" s="66"/>
      <c r="G16" s="66"/>
      <c r="H16" s="66"/>
      <c r="I16" s="66"/>
      <c r="J16" s="66"/>
      <c r="K16" s="66"/>
      <c r="L16" s="31"/>
      <c r="M16" s="63" t="str">
        <f>IFERROR(__xludf.DUMMYFUNCTION("INDEX( SORT( FILTER('Entry Data'!J:Q, 'Entry Data'!O:O &gt;= TODAY()), 6, TRUE ), ROWS($Q$17:Q20), 1 )"),"Nama Kegiatan")</f>
        <v>Nama Kegiatan</v>
      </c>
      <c r="N16" s="63" t="str">
        <f>IFERROR(__xludf.DUMMYFUNCTION("INDEX(
  SORT(
    FILTER('Entry Data'!J:Q, 'Entry Data'!O:O &gt;= TODAY()),
    6, TRUE
  ),
  ROWS($N$13:N16),
  2
)"),"Mata Kuliah")</f>
        <v>Mata Kuliah</v>
      </c>
      <c r="O16" s="64" t="str">
        <f>IFERROR(__xludf.DUMMYFUNCTION("INDEX(
  SORT(
    FILTER('Entry Data'!J:Q, 'Entry Data'!O:O &gt;= TODAY()),
    6, TRUE
  ),
  ROWS($N$13:N16),
  3
)
"),"Status")</f>
        <v>Status</v>
      </c>
      <c r="P16" s="71" t="str">
        <f>IFERROR(__xludf.DUMMYFUNCTION("INDEX(
  SORT(
    FILTER('Entry Data'!J:Q, 'Entry Data'!O:O &gt;= TODAY()),
    6, TRUE
  ),
  ROWS($N$13:N16),
  6
)
"),"Deadline")</f>
        <v>Deadline</v>
      </c>
      <c r="Q16" s="63" t="str">
        <f>IFERROR(__xludf.DUMMYFUNCTION("INDEX(
  SORT(
    FILTER('Entry Data'!J:Q, 'Entry Data'!O:O &gt;= TODAY()),
    6, TRUE
  ),
  ROWS($N$13:N16),
  8
)
"),"Progress")</f>
        <v>Progress</v>
      </c>
      <c r="R16" s="31"/>
      <c r="S16" s="31"/>
      <c r="T16" s="31"/>
      <c r="U16" s="31"/>
    </row>
    <row r="17">
      <c r="A17" s="31"/>
      <c r="B17" s="31"/>
      <c r="C17" s="31"/>
      <c r="D17" s="31"/>
      <c r="E17" s="31"/>
      <c r="F17" s="31"/>
      <c r="G17" s="31"/>
      <c r="H17" s="31"/>
      <c r="I17" s="31"/>
      <c r="J17" s="31"/>
      <c r="K17" s="31"/>
      <c r="L17" s="31"/>
      <c r="M17" s="31"/>
      <c r="N17" s="31"/>
      <c r="O17" s="31"/>
      <c r="P17" s="31"/>
      <c r="Q17" s="31"/>
      <c r="R17" s="31"/>
      <c r="S17" s="31"/>
      <c r="T17" s="31"/>
      <c r="U17" s="31"/>
    </row>
    <row r="18">
      <c r="A18" s="31"/>
      <c r="B18" s="31"/>
      <c r="C18" s="31"/>
      <c r="D18" s="35" t="s">
        <v>8</v>
      </c>
      <c r="E18" s="31"/>
      <c r="F18" s="31"/>
      <c r="G18" s="31"/>
      <c r="H18" s="31"/>
      <c r="I18" s="31"/>
      <c r="J18" s="31"/>
      <c r="K18" s="31"/>
      <c r="L18" s="31"/>
      <c r="M18" s="31"/>
      <c r="N18" s="31"/>
      <c r="O18" s="31"/>
      <c r="P18" s="31"/>
      <c r="Q18" s="31"/>
      <c r="R18" s="31"/>
      <c r="S18" s="35" t="s">
        <v>8</v>
      </c>
      <c r="T18" s="31"/>
      <c r="U18" s="31"/>
    </row>
    <row r="19">
      <c r="A19" s="31"/>
      <c r="B19" s="31"/>
      <c r="C19" s="31"/>
      <c r="D19" s="31"/>
      <c r="E19" s="31"/>
      <c r="F19" s="31"/>
      <c r="G19" s="31"/>
      <c r="H19" s="31"/>
      <c r="I19" s="31"/>
      <c r="J19" s="31"/>
      <c r="K19" s="31"/>
      <c r="L19" s="31"/>
      <c r="M19" s="31"/>
      <c r="N19" s="31"/>
      <c r="O19" s="31"/>
      <c r="P19" s="31"/>
      <c r="Q19" s="31"/>
      <c r="R19" s="31"/>
      <c r="S19" s="31"/>
      <c r="T19" s="31"/>
      <c r="U19" s="31"/>
    </row>
    <row r="20">
      <c r="A20" s="31"/>
      <c r="B20" s="31"/>
      <c r="C20" s="31"/>
      <c r="D20" s="31"/>
      <c r="E20" s="31"/>
      <c r="F20" s="31"/>
      <c r="G20" s="31"/>
      <c r="H20" s="35" t="s">
        <v>8</v>
      </c>
      <c r="I20" s="31"/>
      <c r="J20" s="31"/>
      <c r="K20" s="31"/>
      <c r="L20" s="31"/>
      <c r="M20" s="31"/>
      <c r="N20" s="31"/>
      <c r="O20" s="31"/>
      <c r="P20" s="31"/>
      <c r="Q20" s="31"/>
      <c r="R20" s="31"/>
      <c r="S20" s="31"/>
      <c r="T20" s="31"/>
      <c r="U20" s="31"/>
    </row>
    <row r="21">
      <c r="A21" s="39"/>
      <c r="B21" s="39"/>
      <c r="C21" s="39"/>
      <c r="D21" s="39"/>
      <c r="E21" s="39"/>
      <c r="F21" s="39"/>
      <c r="G21" s="39"/>
      <c r="H21" s="39"/>
      <c r="I21" s="39"/>
      <c r="J21" s="39"/>
      <c r="K21" s="39"/>
      <c r="L21" s="39"/>
      <c r="M21" s="39"/>
      <c r="N21" s="39"/>
      <c r="O21" s="40" t="s">
        <v>8</v>
      </c>
      <c r="P21" s="39"/>
      <c r="Q21" s="39"/>
      <c r="R21" s="39"/>
      <c r="S21" s="39"/>
      <c r="T21" s="39"/>
      <c r="U21" s="39"/>
    </row>
    <row r="22">
      <c r="A22" s="39"/>
      <c r="B22" s="39"/>
      <c r="C22" s="40" t="s">
        <v>8</v>
      </c>
      <c r="D22" s="39"/>
      <c r="E22" s="39"/>
      <c r="F22" s="39"/>
      <c r="G22" s="39"/>
      <c r="H22" s="39"/>
      <c r="I22" s="39"/>
      <c r="J22" s="39"/>
      <c r="K22" s="40" t="s">
        <v>8</v>
      </c>
      <c r="L22" s="39"/>
      <c r="M22" s="39"/>
      <c r="N22" s="39"/>
      <c r="O22" s="39"/>
      <c r="P22" s="39"/>
      <c r="Q22" s="39"/>
      <c r="R22" s="39"/>
      <c r="S22" s="39"/>
      <c r="T22" s="39"/>
      <c r="U22" s="39"/>
    </row>
    <row r="23" ht="52.5" customHeight="1">
      <c r="A23" s="39"/>
      <c r="B23" s="40" t="s">
        <v>8</v>
      </c>
      <c r="C23" s="39"/>
      <c r="D23" s="39"/>
      <c r="E23" s="39"/>
      <c r="F23" s="39"/>
      <c r="G23" s="40" t="s">
        <v>8</v>
      </c>
      <c r="H23" s="39"/>
      <c r="I23" s="39"/>
      <c r="J23" s="39"/>
      <c r="K23" s="39"/>
      <c r="L23" s="39"/>
      <c r="M23" s="39"/>
      <c r="N23" s="39"/>
      <c r="O23" s="39"/>
      <c r="P23" s="39"/>
      <c r="Q23" s="39"/>
      <c r="R23" s="39"/>
      <c r="S23" s="39"/>
      <c r="T23" s="40" t="s">
        <v>8</v>
      </c>
      <c r="U23" s="39"/>
    </row>
    <row r="24">
      <c r="A24" s="45"/>
      <c r="B24" s="45"/>
      <c r="C24" s="45"/>
      <c r="D24" s="45"/>
      <c r="E24" s="45"/>
      <c r="F24" s="45"/>
      <c r="G24" s="45"/>
      <c r="H24" s="45"/>
      <c r="I24" s="45"/>
      <c r="J24" s="45"/>
      <c r="K24" s="46"/>
      <c r="L24" s="46"/>
      <c r="M24" s="46"/>
      <c r="N24" s="46"/>
      <c r="O24" s="46"/>
      <c r="P24" s="46"/>
      <c r="Q24" s="46"/>
      <c r="R24" s="45" t="s">
        <v>8</v>
      </c>
      <c r="S24" s="46"/>
      <c r="T24" s="46"/>
      <c r="U24" s="46"/>
    </row>
    <row r="25">
      <c r="A25" s="45"/>
      <c r="B25" s="45"/>
      <c r="C25" s="45"/>
      <c r="D25" s="45"/>
      <c r="E25" s="45" t="s">
        <v>8</v>
      </c>
      <c r="F25" s="45"/>
      <c r="G25" s="45"/>
      <c r="H25" s="46"/>
      <c r="I25" s="46"/>
      <c r="J25" s="46"/>
      <c r="K25" s="46"/>
      <c r="L25" s="46"/>
      <c r="M25" s="45" t="s">
        <v>8</v>
      </c>
      <c r="N25" s="46"/>
      <c r="O25" s="46"/>
      <c r="P25" s="46"/>
      <c r="Q25" s="46"/>
      <c r="R25" s="46"/>
      <c r="S25" s="46"/>
      <c r="T25" s="46"/>
      <c r="U25" s="46"/>
    </row>
    <row r="26">
      <c r="A26" s="45"/>
      <c r="B26" s="45"/>
      <c r="C26" s="45"/>
      <c r="D26" s="45"/>
      <c r="E26" s="45"/>
      <c r="F26" s="45"/>
      <c r="G26" s="45"/>
      <c r="H26" s="46"/>
      <c r="I26" s="46"/>
      <c r="J26" s="46"/>
      <c r="K26" s="46"/>
      <c r="L26" s="46"/>
      <c r="M26" s="46"/>
      <c r="N26" s="46"/>
      <c r="O26" s="46"/>
      <c r="P26" s="45" t="s">
        <v>8</v>
      </c>
      <c r="Q26" s="45"/>
      <c r="R26" s="45"/>
      <c r="S26" s="45"/>
      <c r="T26" s="45"/>
      <c r="U26" s="45"/>
    </row>
    <row r="27">
      <c r="A27" s="45"/>
      <c r="B27" s="45"/>
      <c r="C27" s="45"/>
      <c r="D27" s="45"/>
      <c r="E27" s="45"/>
      <c r="F27" s="45"/>
      <c r="G27" s="45"/>
      <c r="H27" s="46"/>
      <c r="I27" s="45" t="s">
        <v>8</v>
      </c>
      <c r="J27" s="46"/>
      <c r="K27" s="46"/>
      <c r="L27" s="46"/>
      <c r="M27" s="46"/>
      <c r="N27" s="46"/>
      <c r="O27" s="46"/>
      <c r="P27" s="46"/>
      <c r="Q27" s="46"/>
      <c r="R27" s="46"/>
      <c r="S27" s="46"/>
      <c r="T27" s="46"/>
      <c r="U27" s="46"/>
    </row>
    <row r="28">
      <c r="A28" s="45"/>
      <c r="B28" s="45"/>
      <c r="C28" s="45"/>
      <c r="D28" s="45"/>
      <c r="E28" s="45"/>
      <c r="F28" s="45"/>
      <c r="G28" s="45"/>
      <c r="H28" s="46"/>
      <c r="I28" s="46"/>
      <c r="J28" s="46"/>
      <c r="K28" s="46"/>
      <c r="L28" s="46"/>
      <c r="M28" s="46"/>
      <c r="N28" s="46"/>
      <c r="O28" s="46"/>
      <c r="P28" s="46"/>
      <c r="Q28" s="46"/>
      <c r="R28" s="46"/>
      <c r="S28" s="45" t="s">
        <v>8</v>
      </c>
      <c r="T28" s="46"/>
      <c r="U28" s="46"/>
    </row>
    <row r="29">
      <c r="A29" s="46"/>
      <c r="B29" s="46"/>
      <c r="C29" s="46"/>
      <c r="D29" s="46"/>
      <c r="E29" s="46"/>
      <c r="F29" s="46"/>
      <c r="G29" s="46"/>
      <c r="H29" s="46"/>
      <c r="I29" s="46"/>
      <c r="J29" s="46"/>
      <c r="K29" s="46"/>
      <c r="L29" s="46"/>
      <c r="M29" s="46"/>
      <c r="N29" s="46"/>
      <c r="O29" s="46"/>
      <c r="P29" s="46"/>
      <c r="Q29" s="46"/>
      <c r="R29" s="46"/>
      <c r="S29" s="46"/>
      <c r="T29" s="46"/>
      <c r="U29" s="46"/>
    </row>
  </sheetData>
  <mergeCells count="4">
    <mergeCell ref="B7:D7"/>
    <mergeCell ref="B8:D11"/>
    <mergeCell ref="B13:D13"/>
    <mergeCell ref="B14:D16"/>
  </mergeCells>
  <conditionalFormatting sqref="A1:H1">
    <cfRule type="colorScale" priority="1">
      <colorScale>
        <cfvo type="formula" val="0"/>
        <cfvo type="formula" val="50"/>
        <cfvo type="formula" val="100"/>
        <color rgb="FF1A1B2F"/>
        <color rgb="FF5F2EEA"/>
        <color rgb="FFB980F0"/>
      </colorScale>
    </cfRule>
  </conditionalFormatting>
  <dataValidations>
    <dataValidation type="list" allowBlank="1" showErrorMessage="1" sqref="E4">
      <formula1>"1,2,3,4,5,6,7,8"</formula1>
    </dataValidation>
    <dataValidation type="custom" allowBlank="1" showDropDown="1" sqref="P8:P10 P13:P16">
      <formula1>OR(NOT(ISERROR(DATEVALUE(P8))), AND(ISNUMBER(P8), LEFT(CELL("format", P8))="D"))</formula1>
    </dataValidation>
  </dataValidations>
  <hyperlinks>
    <hyperlink display="HOME" location="Home!A1" ref="A1"/>
    <hyperlink display="DASHBOARD" location="Dashboard!A1" ref="B1"/>
    <hyperlink display="ENTRY DATA" location="'Entry Data'!A1" ref="C1"/>
    <hyperlink display="DATA BASE" location="Database!A1" ref="D1"/>
    <hyperlink display="GRAPH" location="Graph!A1" ref="E1"/>
    <hyperlink display="JADWAL" location="'Jadwal Kuliah'!A1" ref="F1"/>
    <hyperlink display="KALENDER" location="'Kalender '!A1" ref="G1"/>
    <hyperlink display="TRACKER" location="'Tracking Matkul'!A1" ref="H1"/>
  </hyperlinks>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25"/>
    <col customWidth="1" min="2" max="2" width="24.63"/>
    <col customWidth="1" min="3" max="3" width="27.5"/>
    <col customWidth="1" min="4" max="4" width="21.25"/>
    <col customWidth="1" min="5" max="5" width="35.13"/>
    <col customWidth="1" min="6" max="6" width="17.63"/>
    <col customWidth="1" min="7" max="7" width="16.0"/>
    <col customWidth="1" min="8" max="8" width="14.38"/>
    <col customWidth="1" min="9" max="9" width="17.0"/>
    <col customWidth="1" min="10" max="10" width="16.63"/>
    <col customWidth="1" min="11" max="11" width="16.75"/>
    <col customWidth="1" min="12" max="12" width="14.13"/>
    <col customWidth="1" min="13" max="13" width="14.88"/>
    <col customWidth="1" min="15" max="15" width="15.88"/>
    <col customWidth="1" min="16" max="24" width="15.63"/>
  </cols>
  <sheetData>
    <row r="1" ht="23.25" customHeight="1">
      <c r="A1" s="1" t="s">
        <v>0</v>
      </c>
      <c r="B1" s="2" t="s">
        <v>1</v>
      </c>
      <c r="C1" s="3" t="s">
        <v>2</v>
      </c>
      <c r="D1" s="2" t="s">
        <v>3</v>
      </c>
      <c r="E1" s="2" t="s">
        <v>4</v>
      </c>
      <c r="F1" s="3" t="s">
        <v>5</v>
      </c>
      <c r="G1" s="2" t="s">
        <v>6</v>
      </c>
      <c r="H1" s="2" t="s">
        <v>7</v>
      </c>
      <c r="I1" s="4"/>
      <c r="J1" s="4"/>
      <c r="K1" s="4"/>
      <c r="L1" s="4"/>
      <c r="M1" s="4"/>
      <c r="N1" s="4"/>
      <c r="O1" s="4"/>
      <c r="P1" s="47" t="s">
        <v>8</v>
      </c>
      <c r="Q1" s="4"/>
      <c r="R1" s="4"/>
      <c r="S1" s="4"/>
      <c r="T1" s="73"/>
      <c r="U1" s="73"/>
      <c r="V1" s="74" t="s">
        <v>8</v>
      </c>
      <c r="W1" s="73"/>
      <c r="X1" s="73"/>
    </row>
    <row r="2">
      <c r="A2" s="4"/>
      <c r="B2" s="4"/>
      <c r="C2" s="4"/>
      <c r="D2" s="4"/>
      <c r="E2" s="4"/>
      <c r="F2" s="4"/>
      <c r="G2" s="4"/>
      <c r="H2" s="4"/>
      <c r="I2" s="4"/>
      <c r="J2" s="4"/>
      <c r="K2" s="50" t="s">
        <v>8</v>
      </c>
      <c r="L2" s="4"/>
      <c r="M2" s="4"/>
      <c r="N2" s="4"/>
      <c r="O2" s="4"/>
      <c r="P2" s="4"/>
      <c r="Q2" s="4"/>
      <c r="R2" s="4"/>
      <c r="S2" s="4"/>
      <c r="T2" s="4"/>
      <c r="U2" s="75"/>
      <c r="V2" s="75"/>
      <c r="W2" s="76"/>
      <c r="X2" s="75"/>
    </row>
    <row r="3">
      <c r="A3" s="4"/>
      <c r="B3" s="4"/>
      <c r="C3" s="4"/>
      <c r="D3" s="50" t="s">
        <v>8</v>
      </c>
      <c r="E3" s="4"/>
      <c r="F3" s="4"/>
      <c r="G3" s="4"/>
      <c r="H3" s="4"/>
      <c r="I3" s="4"/>
      <c r="J3" s="4"/>
      <c r="K3" s="4"/>
      <c r="L3" s="4"/>
      <c r="M3" s="4"/>
      <c r="N3" s="4"/>
      <c r="O3" s="4"/>
      <c r="P3" s="4"/>
      <c r="Q3" s="4"/>
      <c r="R3" s="4"/>
      <c r="S3" s="4"/>
      <c r="T3" s="4"/>
      <c r="U3" s="75"/>
      <c r="V3" s="75"/>
      <c r="W3" s="76"/>
      <c r="X3" s="75"/>
    </row>
    <row r="4">
      <c r="A4" s="77"/>
      <c r="B4" s="75" t="s">
        <v>8</v>
      </c>
      <c r="C4" s="75"/>
      <c r="D4" s="75"/>
      <c r="E4" s="77"/>
      <c r="F4" s="75" t="s">
        <v>8</v>
      </c>
      <c r="G4" s="77"/>
      <c r="H4" s="77"/>
      <c r="I4" s="77"/>
      <c r="J4" s="77"/>
      <c r="K4" s="77"/>
      <c r="L4" s="77"/>
      <c r="M4" s="77"/>
      <c r="N4" s="75" t="s">
        <v>8</v>
      </c>
      <c r="O4" s="77"/>
      <c r="P4" s="77"/>
      <c r="Q4" s="77"/>
      <c r="R4" s="77"/>
      <c r="S4" s="77"/>
      <c r="T4" s="77"/>
      <c r="U4" s="77"/>
      <c r="V4" s="77"/>
      <c r="W4" s="77"/>
      <c r="X4" s="77"/>
    </row>
    <row r="5">
      <c r="A5" s="77"/>
      <c r="B5" s="77"/>
      <c r="C5" s="75"/>
      <c r="D5" s="75"/>
      <c r="E5" s="77"/>
      <c r="F5" s="77"/>
      <c r="G5" s="77"/>
      <c r="H5" s="77"/>
      <c r="I5" s="77"/>
      <c r="J5" s="77"/>
      <c r="K5" s="77"/>
      <c r="L5" s="77"/>
      <c r="M5" s="77"/>
      <c r="N5" s="77"/>
      <c r="O5" s="77"/>
      <c r="P5" s="77"/>
      <c r="Q5" s="77"/>
      <c r="R5" s="77"/>
      <c r="S5" s="77"/>
      <c r="T5" s="77"/>
      <c r="U5" s="75" t="s">
        <v>8</v>
      </c>
      <c r="V5" s="77"/>
      <c r="W5" s="77"/>
      <c r="X5" s="77"/>
    </row>
    <row r="6" ht="22.5" customHeight="1">
      <c r="A6" s="77"/>
      <c r="B6" s="78" t="s">
        <v>53</v>
      </c>
      <c r="C6" s="78" t="s">
        <v>54</v>
      </c>
      <c r="D6" s="78" t="s">
        <v>55</v>
      </c>
      <c r="E6" s="78" t="s">
        <v>56</v>
      </c>
      <c r="F6" s="78" t="s">
        <v>57</v>
      </c>
      <c r="G6" s="77"/>
      <c r="H6" s="57" t="s">
        <v>58</v>
      </c>
      <c r="I6" s="57" t="s">
        <v>59</v>
      </c>
      <c r="J6" s="57" t="s">
        <v>60</v>
      </c>
      <c r="K6" s="57" t="s">
        <v>41</v>
      </c>
      <c r="L6" s="57" t="s">
        <v>51</v>
      </c>
      <c r="M6" s="57" t="s">
        <v>47</v>
      </c>
      <c r="N6" s="57" t="s">
        <v>61</v>
      </c>
      <c r="O6" s="57" t="s">
        <v>48</v>
      </c>
      <c r="P6" s="57" t="s">
        <v>62</v>
      </c>
      <c r="Q6" s="79" t="s">
        <v>49</v>
      </c>
      <c r="R6" s="77"/>
      <c r="S6" s="77"/>
      <c r="T6" s="77"/>
      <c r="U6" s="77"/>
      <c r="V6" s="77"/>
      <c r="W6" s="77"/>
      <c r="X6" s="77"/>
    </row>
    <row r="7" ht="22.5" customHeight="1">
      <c r="A7" s="80"/>
      <c r="B7" s="78" t="s">
        <v>63</v>
      </c>
      <c r="C7" s="78" t="s">
        <v>64</v>
      </c>
      <c r="D7" s="78" t="s">
        <v>65</v>
      </c>
      <c r="E7" s="78" t="s">
        <v>66</v>
      </c>
      <c r="F7" s="78" t="s">
        <v>67</v>
      </c>
      <c r="G7" s="80"/>
      <c r="H7" s="81" t="s">
        <v>68</v>
      </c>
      <c r="I7" s="82" t="s">
        <v>69</v>
      </c>
      <c r="J7" s="83" t="s">
        <v>70</v>
      </c>
      <c r="K7" s="84" t="s">
        <v>71</v>
      </c>
      <c r="L7" s="85" t="s">
        <v>72</v>
      </c>
      <c r="M7" s="81" t="s">
        <v>73</v>
      </c>
      <c r="N7" s="86"/>
      <c r="O7" s="86"/>
      <c r="P7" s="87"/>
      <c r="Q7" s="88">
        <v>1.0</v>
      </c>
      <c r="R7" s="80"/>
      <c r="S7" s="80"/>
      <c r="T7" s="80"/>
      <c r="U7" s="80"/>
      <c r="V7" s="80"/>
      <c r="W7" s="80"/>
      <c r="X7" s="80"/>
    </row>
    <row r="8" ht="22.5" customHeight="1">
      <c r="A8" s="80"/>
      <c r="B8" s="78" t="s">
        <v>74</v>
      </c>
      <c r="C8" s="78" t="s">
        <v>75</v>
      </c>
      <c r="D8" s="78" t="s">
        <v>76</v>
      </c>
      <c r="E8" s="78" t="s">
        <v>77</v>
      </c>
      <c r="F8" s="78" t="s">
        <v>78</v>
      </c>
      <c r="G8" s="80"/>
      <c r="H8" s="89" t="s">
        <v>79</v>
      </c>
      <c r="I8" s="90" t="s">
        <v>80</v>
      </c>
      <c r="J8" s="91" t="s">
        <v>77</v>
      </c>
      <c r="K8" s="84" t="s">
        <v>81</v>
      </c>
      <c r="L8" s="89" t="s">
        <v>72</v>
      </c>
      <c r="M8" s="89" t="s">
        <v>73</v>
      </c>
      <c r="N8" s="92">
        <v>45945.0</v>
      </c>
      <c r="O8" s="92">
        <v>45952.0</v>
      </c>
      <c r="P8" s="93"/>
      <c r="Q8" s="88">
        <v>1.0</v>
      </c>
      <c r="R8" s="80"/>
      <c r="S8" s="94" t="s">
        <v>8</v>
      </c>
      <c r="T8" s="80"/>
      <c r="U8" s="80"/>
      <c r="V8" s="80"/>
      <c r="W8" s="95" t="s">
        <v>8</v>
      </c>
      <c r="X8" s="80"/>
    </row>
    <row r="9" ht="22.5" customHeight="1">
      <c r="A9" s="95" t="s">
        <v>8</v>
      </c>
      <c r="B9" s="78" t="s">
        <v>82</v>
      </c>
      <c r="C9" s="78" t="s">
        <v>83</v>
      </c>
      <c r="D9" s="78" t="s">
        <v>84</v>
      </c>
      <c r="E9" s="78" t="s">
        <v>85</v>
      </c>
      <c r="F9" s="96"/>
      <c r="G9" s="95" t="s">
        <v>8</v>
      </c>
      <c r="H9" s="89" t="s">
        <v>68</v>
      </c>
      <c r="I9" s="90" t="s">
        <v>86</v>
      </c>
      <c r="J9" s="91" t="s">
        <v>84</v>
      </c>
      <c r="K9" s="84" t="s">
        <v>71</v>
      </c>
      <c r="L9" s="97" t="s">
        <v>87</v>
      </c>
      <c r="M9" s="89" t="s">
        <v>88</v>
      </c>
      <c r="N9" s="92">
        <v>45955.0</v>
      </c>
      <c r="O9" s="92">
        <v>45981.0</v>
      </c>
      <c r="P9" s="93"/>
      <c r="Q9" s="88">
        <v>0.3</v>
      </c>
      <c r="R9" s="80"/>
      <c r="S9" s="80"/>
      <c r="T9" s="80"/>
      <c r="U9" s="80"/>
      <c r="V9" s="80"/>
      <c r="W9" s="80"/>
      <c r="X9" s="94" t="s">
        <v>8</v>
      </c>
    </row>
    <row r="10" ht="22.5" customHeight="1">
      <c r="A10" s="80"/>
      <c r="B10" s="78" t="s">
        <v>89</v>
      </c>
      <c r="C10" s="78" t="s">
        <v>90</v>
      </c>
      <c r="D10" s="78" t="s">
        <v>91</v>
      </c>
      <c r="E10" s="96"/>
      <c r="F10" s="96"/>
      <c r="G10" s="80"/>
      <c r="H10" s="89" t="s">
        <v>79</v>
      </c>
      <c r="I10" s="90" t="s">
        <v>92</v>
      </c>
      <c r="J10" s="91" t="s">
        <v>93</v>
      </c>
      <c r="K10" s="84" t="s">
        <v>83</v>
      </c>
      <c r="L10" s="89" t="s">
        <v>87</v>
      </c>
      <c r="M10" s="89" t="s">
        <v>88</v>
      </c>
      <c r="N10" s="92">
        <v>45957.0</v>
      </c>
      <c r="O10" s="92">
        <v>45964.0</v>
      </c>
      <c r="P10" s="93"/>
      <c r="Q10" s="88">
        <v>0.75</v>
      </c>
      <c r="R10" s="80"/>
      <c r="S10" s="80"/>
      <c r="T10" s="80"/>
      <c r="U10" s="80"/>
      <c r="V10" s="80"/>
      <c r="W10" s="80"/>
      <c r="X10" s="80"/>
    </row>
    <row r="11" ht="22.5" customHeight="1">
      <c r="A11" s="80"/>
      <c r="B11" s="78" t="s">
        <v>94</v>
      </c>
      <c r="C11" s="78" t="s">
        <v>95</v>
      </c>
      <c r="D11" s="96"/>
      <c r="E11" s="96"/>
      <c r="F11" s="96"/>
      <c r="G11" s="80"/>
      <c r="H11" s="89" t="s">
        <v>79</v>
      </c>
      <c r="I11" s="90" t="s">
        <v>92</v>
      </c>
      <c r="J11" s="91" t="s">
        <v>96</v>
      </c>
      <c r="K11" s="84" t="s">
        <v>90</v>
      </c>
      <c r="L11" s="89" t="s">
        <v>87</v>
      </c>
      <c r="M11" s="89" t="s">
        <v>88</v>
      </c>
      <c r="N11" s="92">
        <v>45957.0</v>
      </c>
      <c r="O11" s="92">
        <v>45959.0</v>
      </c>
      <c r="P11" s="93"/>
      <c r="Q11" s="88">
        <v>0.9</v>
      </c>
      <c r="R11" s="80"/>
      <c r="S11" s="80"/>
      <c r="T11" s="80"/>
      <c r="U11" s="94" t="s">
        <v>8</v>
      </c>
      <c r="V11" s="80"/>
      <c r="W11" s="80"/>
      <c r="X11" s="80"/>
    </row>
    <row r="12" ht="22.5" customHeight="1">
      <c r="A12" s="98"/>
      <c r="B12" s="78" t="s">
        <v>97</v>
      </c>
      <c r="C12" s="78" t="s">
        <v>98</v>
      </c>
      <c r="D12" s="96"/>
      <c r="E12" s="96"/>
      <c r="F12" s="96"/>
      <c r="G12" s="98"/>
      <c r="H12" s="89" t="s">
        <v>79</v>
      </c>
      <c r="I12" s="90" t="s">
        <v>99</v>
      </c>
      <c r="J12" s="91" t="s">
        <v>100</v>
      </c>
      <c r="K12" s="84" t="s">
        <v>98</v>
      </c>
      <c r="L12" s="89" t="s">
        <v>87</v>
      </c>
      <c r="M12" s="89" t="s">
        <v>101</v>
      </c>
      <c r="N12" s="92">
        <v>45965.0</v>
      </c>
      <c r="O12" s="92">
        <v>45972.0</v>
      </c>
      <c r="P12" s="93"/>
      <c r="Q12" s="88">
        <v>0.92</v>
      </c>
      <c r="R12" s="98"/>
      <c r="S12" s="98"/>
      <c r="T12" s="98"/>
      <c r="U12" s="98"/>
      <c r="V12" s="98"/>
      <c r="W12" s="98"/>
      <c r="X12" s="99" t="s">
        <v>8</v>
      </c>
    </row>
    <row r="13" ht="22.5" customHeight="1">
      <c r="A13" s="98"/>
      <c r="B13" s="78" t="s">
        <v>102</v>
      </c>
      <c r="C13" s="78" t="s">
        <v>103</v>
      </c>
      <c r="D13" s="96"/>
      <c r="E13" s="96"/>
      <c r="F13" s="96"/>
      <c r="G13" s="98"/>
      <c r="H13" s="89" t="s">
        <v>79</v>
      </c>
      <c r="I13" s="90" t="s">
        <v>99</v>
      </c>
      <c r="J13" s="91" t="s">
        <v>104</v>
      </c>
      <c r="K13" s="84" t="s">
        <v>90</v>
      </c>
      <c r="L13" s="89" t="s">
        <v>87</v>
      </c>
      <c r="M13" s="89" t="s">
        <v>101</v>
      </c>
      <c r="N13" s="92">
        <v>45975.0</v>
      </c>
      <c r="O13" s="92">
        <v>45975.0</v>
      </c>
      <c r="P13" s="93"/>
      <c r="Q13" s="88">
        <v>0.6</v>
      </c>
      <c r="R13" s="98"/>
      <c r="S13" s="100" t="s">
        <v>8</v>
      </c>
      <c r="T13" s="98"/>
      <c r="U13" s="98"/>
      <c r="V13" s="98"/>
      <c r="W13" s="98"/>
      <c r="X13" s="98"/>
    </row>
    <row r="14" ht="22.5" customHeight="1">
      <c r="A14" s="98"/>
      <c r="B14" s="78" t="s">
        <v>105</v>
      </c>
      <c r="C14" s="96"/>
      <c r="D14" s="96"/>
      <c r="E14" s="96"/>
      <c r="F14" s="96"/>
      <c r="G14" s="98"/>
      <c r="H14" s="89" t="s">
        <v>79</v>
      </c>
      <c r="I14" s="90" t="s">
        <v>99</v>
      </c>
      <c r="J14" s="91" t="s">
        <v>85</v>
      </c>
      <c r="K14" s="84" t="s">
        <v>98</v>
      </c>
      <c r="L14" s="89" t="s">
        <v>87</v>
      </c>
      <c r="M14" s="89" t="s">
        <v>88</v>
      </c>
      <c r="N14" s="92">
        <v>45965.0</v>
      </c>
      <c r="O14" s="92">
        <v>45979.0</v>
      </c>
      <c r="P14" s="93"/>
      <c r="Q14" s="88">
        <v>0.4</v>
      </c>
      <c r="R14" s="98"/>
      <c r="S14" s="98"/>
      <c r="T14" s="98"/>
      <c r="U14" s="98"/>
      <c r="V14" s="98"/>
      <c r="W14" s="99" t="s">
        <v>8</v>
      </c>
      <c r="X14" s="98"/>
    </row>
    <row r="15" ht="22.5" customHeight="1">
      <c r="A15" s="98"/>
      <c r="B15" s="96"/>
      <c r="C15" s="96"/>
      <c r="D15" s="96"/>
      <c r="E15" s="96"/>
      <c r="F15" s="96"/>
      <c r="G15" s="98"/>
      <c r="H15" s="89" t="s">
        <v>68</v>
      </c>
      <c r="I15" s="90" t="s">
        <v>106</v>
      </c>
      <c r="J15" s="91" t="s">
        <v>107</v>
      </c>
      <c r="K15" s="84" t="s">
        <v>71</v>
      </c>
      <c r="L15" s="89" t="s">
        <v>108</v>
      </c>
      <c r="M15" s="89" t="s">
        <v>73</v>
      </c>
      <c r="N15" s="92">
        <v>45976.0</v>
      </c>
      <c r="O15" s="92">
        <v>45977.0</v>
      </c>
      <c r="P15" s="93"/>
      <c r="Q15" s="101"/>
      <c r="R15" s="98"/>
      <c r="S15" s="98"/>
      <c r="T15" s="98"/>
      <c r="U15" s="98"/>
      <c r="V15" s="98"/>
      <c r="W15" s="98"/>
      <c r="X15" s="98"/>
    </row>
    <row r="16" ht="22.5" customHeight="1">
      <c r="A16" s="98"/>
      <c r="B16" s="96"/>
      <c r="C16" s="96"/>
      <c r="D16" s="96"/>
      <c r="E16" s="96"/>
      <c r="F16" s="96"/>
      <c r="G16" s="98"/>
      <c r="H16" s="89" t="s">
        <v>79</v>
      </c>
      <c r="I16" s="90" t="s">
        <v>99</v>
      </c>
      <c r="J16" s="91" t="s">
        <v>109</v>
      </c>
      <c r="K16" s="84" t="s">
        <v>64</v>
      </c>
      <c r="L16" s="89" t="s">
        <v>108</v>
      </c>
      <c r="M16" s="89" t="s">
        <v>101</v>
      </c>
      <c r="N16" s="92">
        <v>45981.0</v>
      </c>
      <c r="O16" s="92">
        <v>45981.0</v>
      </c>
      <c r="P16" s="93"/>
      <c r="Q16" s="88">
        <v>0.0</v>
      </c>
      <c r="R16" s="98"/>
      <c r="S16" s="99" t="s">
        <v>8</v>
      </c>
      <c r="T16" s="98"/>
      <c r="U16" s="100" t="s">
        <v>8</v>
      </c>
      <c r="V16" s="98"/>
      <c r="W16" s="98"/>
      <c r="X16" s="98"/>
    </row>
    <row r="17" ht="22.5" customHeight="1">
      <c r="A17" s="102" t="s">
        <v>8</v>
      </c>
      <c r="B17" s="96"/>
      <c r="C17" s="96"/>
      <c r="D17" s="96"/>
      <c r="E17" s="96"/>
      <c r="F17" s="96"/>
      <c r="G17" s="102" t="s">
        <v>8</v>
      </c>
      <c r="H17" s="89" t="s">
        <v>79</v>
      </c>
      <c r="I17" s="90" t="s">
        <v>92</v>
      </c>
      <c r="J17" s="91" t="s">
        <v>110</v>
      </c>
      <c r="K17" s="84" t="s">
        <v>111</v>
      </c>
      <c r="L17" s="89" t="s">
        <v>87</v>
      </c>
      <c r="M17" s="89" t="s">
        <v>88</v>
      </c>
      <c r="N17" s="92">
        <v>45965.0</v>
      </c>
      <c r="O17" s="92">
        <v>45972.0</v>
      </c>
      <c r="P17" s="93"/>
      <c r="Q17" s="88">
        <v>0.7</v>
      </c>
      <c r="R17" s="103"/>
      <c r="S17" s="103"/>
      <c r="T17" s="104"/>
      <c r="U17" s="104"/>
      <c r="V17" s="104"/>
      <c r="W17" s="103" t="s">
        <v>8</v>
      </c>
      <c r="X17" s="104"/>
    </row>
    <row r="18" ht="22.5" customHeight="1">
      <c r="A18" s="104"/>
      <c r="B18" s="96"/>
      <c r="C18" s="96"/>
      <c r="D18" s="96"/>
      <c r="E18" s="96"/>
      <c r="F18" s="96"/>
      <c r="G18" s="104"/>
      <c r="H18" s="89" t="s">
        <v>79</v>
      </c>
      <c r="I18" s="90" t="s">
        <v>112</v>
      </c>
      <c r="J18" s="91" t="s">
        <v>113</v>
      </c>
      <c r="K18" s="84" t="s">
        <v>81</v>
      </c>
      <c r="L18" s="89" t="s">
        <v>108</v>
      </c>
      <c r="M18" s="89" t="s">
        <v>101</v>
      </c>
      <c r="N18" s="92">
        <v>45987.0</v>
      </c>
      <c r="O18" s="92">
        <v>46000.0</v>
      </c>
      <c r="P18" s="93"/>
      <c r="Q18" s="88">
        <v>0.0</v>
      </c>
      <c r="R18" s="103"/>
      <c r="S18" s="104"/>
      <c r="T18" s="104"/>
      <c r="U18" s="104"/>
      <c r="V18" s="104"/>
      <c r="W18" s="104"/>
      <c r="X18" s="103" t="s">
        <v>8</v>
      </c>
    </row>
    <row r="19" ht="22.5" customHeight="1">
      <c r="A19" s="104"/>
      <c r="B19" s="96"/>
      <c r="C19" s="96"/>
      <c r="D19" s="96"/>
      <c r="E19" s="96"/>
      <c r="F19" s="96"/>
      <c r="G19" s="104"/>
      <c r="H19" s="89" t="s">
        <v>79</v>
      </c>
      <c r="I19" s="90" t="s">
        <v>92</v>
      </c>
      <c r="J19" s="91" t="s">
        <v>114</v>
      </c>
      <c r="K19" s="84" t="s">
        <v>95</v>
      </c>
      <c r="L19" s="89" t="s">
        <v>87</v>
      </c>
      <c r="M19" s="89" t="s">
        <v>101</v>
      </c>
      <c r="N19" s="92">
        <v>45992.0</v>
      </c>
      <c r="O19" s="92">
        <v>46001.0</v>
      </c>
      <c r="P19" s="93"/>
      <c r="Q19" s="88">
        <v>0.2</v>
      </c>
      <c r="R19" s="103"/>
      <c r="S19" s="104"/>
      <c r="T19" s="103" t="s">
        <v>8</v>
      </c>
      <c r="U19" s="104"/>
      <c r="V19" s="103" t="s">
        <v>8</v>
      </c>
      <c r="W19" s="104"/>
      <c r="X19" s="104"/>
    </row>
    <row r="20" ht="22.5" customHeight="1">
      <c r="A20" s="104"/>
      <c r="B20" s="96"/>
      <c r="C20" s="96"/>
      <c r="D20" s="96"/>
      <c r="E20" s="96"/>
      <c r="F20" s="96"/>
      <c r="G20" s="104"/>
      <c r="H20" s="89" t="s">
        <v>68</v>
      </c>
      <c r="I20" s="90" t="s">
        <v>69</v>
      </c>
      <c r="J20" s="91" t="s">
        <v>115</v>
      </c>
      <c r="K20" s="84" t="s">
        <v>71</v>
      </c>
      <c r="L20" s="89" t="s">
        <v>108</v>
      </c>
      <c r="M20" s="89" t="s">
        <v>88</v>
      </c>
      <c r="N20" s="92">
        <v>45999.0</v>
      </c>
      <c r="O20" s="92">
        <v>46005.0</v>
      </c>
      <c r="P20" s="93"/>
      <c r="Q20" s="88">
        <v>0.0</v>
      </c>
      <c r="R20" s="103"/>
      <c r="S20" s="104"/>
      <c r="T20" s="104"/>
      <c r="U20" s="104"/>
      <c r="V20" s="104"/>
      <c r="W20" s="104"/>
      <c r="X20" s="104"/>
    </row>
    <row r="21" ht="22.5" customHeight="1">
      <c r="A21" s="104"/>
      <c r="B21" s="96"/>
      <c r="C21" s="96"/>
      <c r="D21" s="96"/>
      <c r="E21" s="96"/>
      <c r="F21" s="96"/>
      <c r="G21" s="104"/>
      <c r="H21" s="89" t="s">
        <v>79</v>
      </c>
      <c r="I21" s="90" t="s">
        <v>69</v>
      </c>
      <c r="J21" s="91" t="s">
        <v>94</v>
      </c>
      <c r="K21" s="84" t="s">
        <v>71</v>
      </c>
      <c r="L21" s="89" t="s">
        <v>108</v>
      </c>
      <c r="M21" s="89" t="s">
        <v>101</v>
      </c>
      <c r="N21" s="92">
        <v>46006.0</v>
      </c>
      <c r="O21" s="92">
        <v>46011.0</v>
      </c>
      <c r="P21" s="93"/>
      <c r="Q21" s="88">
        <v>0.0</v>
      </c>
      <c r="R21" s="103"/>
      <c r="S21" s="104"/>
      <c r="T21" s="104"/>
      <c r="U21" s="104"/>
      <c r="V21" s="104"/>
      <c r="W21" s="104"/>
      <c r="X21" s="104"/>
    </row>
    <row r="22" ht="22.5" customHeight="1">
      <c r="A22" s="105"/>
      <c r="B22" s="105"/>
      <c r="C22" s="106" t="s">
        <v>116</v>
      </c>
      <c r="D22" s="105"/>
      <c r="E22" s="105"/>
      <c r="F22" s="105"/>
      <c r="G22" s="105"/>
      <c r="H22" s="89" t="s">
        <v>68</v>
      </c>
      <c r="I22" s="90" t="s">
        <v>117</v>
      </c>
      <c r="J22" s="91" t="s">
        <v>102</v>
      </c>
      <c r="K22" s="84" t="s">
        <v>71</v>
      </c>
      <c r="L22" s="89" t="s">
        <v>108</v>
      </c>
      <c r="M22" s="89" t="s">
        <v>73</v>
      </c>
      <c r="N22" s="92">
        <v>46013.0</v>
      </c>
      <c r="O22" s="92">
        <v>46075.0</v>
      </c>
      <c r="P22" s="93"/>
      <c r="Q22" s="88">
        <v>0.0</v>
      </c>
      <c r="R22" s="105"/>
      <c r="S22" s="105"/>
      <c r="T22" s="105"/>
      <c r="U22" s="106" t="s">
        <v>8</v>
      </c>
      <c r="V22" s="105"/>
      <c r="W22" s="105"/>
      <c r="X22" s="106" t="s">
        <v>8</v>
      </c>
    </row>
    <row r="23">
      <c r="A23" s="105"/>
      <c r="B23" s="106"/>
      <c r="C23" s="105"/>
      <c r="D23" s="106" t="s">
        <v>118</v>
      </c>
      <c r="E23" s="106" t="s">
        <v>119</v>
      </c>
      <c r="F23" s="105"/>
      <c r="G23" s="105"/>
      <c r="H23" s="105"/>
      <c r="I23" s="105"/>
      <c r="J23" s="105"/>
      <c r="K23" s="105"/>
      <c r="L23" s="105"/>
      <c r="M23" s="105"/>
      <c r="N23" s="105"/>
      <c r="O23" s="105"/>
      <c r="P23" s="105"/>
      <c r="Q23" s="105"/>
      <c r="R23" s="105"/>
      <c r="S23" s="106" t="s">
        <v>8</v>
      </c>
      <c r="T23" s="105"/>
      <c r="U23" s="105"/>
      <c r="V23" s="105"/>
      <c r="W23" s="106" t="s">
        <v>8</v>
      </c>
      <c r="X23" s="105"/>
    </row>
    <row r="24">
      <c r="A24" s="106" t="s">
        <v>120</v>
      </c>
      <c r="B24" s="105"/>
      <c r="C24" s="106" t="s">
        <v>121</v>
      </c>
      <c r="D24" s="105"/>
      <c r="E24" s="105"/>
      <c r="F24" s="105"/>
      <c r="G24" s="105"/>
      <c r="H24" s="105"/>
      <c r="I24" s="105"/>
      <c r="J24" s="105"/>
      <c r="K24" s="105"/>
      <c r="L24" s="105"/>
      <c r="M24" s="105"/>
      <c r="N24" s="105"/>
      <c r="O24" s="105"/>
      <c r="P24" s="106" t="s">
        <v>120</v>
      </c>
      <c r="Q24" s="106"/>
      <c r="R24" s="106"/>
      <c r="S24" s="106"/>
      <c r="T24" s="106" t="s">
        <v>8</v>
      </c>
      <c r="U24" s="106"/>
      <c r="V24" s="106"/>
      <c r="W24" s="106"/>
      <c r="X24" s="106"/>
    </row>
    <row r="25">
      <c r="A25" s="105"/>
      <c r="B25" s="105"/>
      <c r="C25" s="105"/>
      <c r="D25" s="105"/>
      <c r="E25" s="105"/>
      <c r="F25" s="105"/>
      <c r="G25" s="105"/>
      <c r="H25" s="107" t="s">
        <v>8</v>
      </c>
      <c r="I25" s="107"/>
      <c r="J25" s="105"/>
      <c r="K25" s="105"/>
      <c r="L25" s="105"/>
      <c r="M25" s="105"/>
      <c r="N25" s="105"/>
      <c r="O25" s="105"/>
      <c r="P25" s="105"/>
      <c r="Q25" s="107" t="s">
        <v>8</v>
      </c>
      <c r="R25" s="105"/>
      <c r="S25" s="105"/>
      <c r="T25" s="105"/>
      <c r="U25" s="105"/>
      <c r="V25" s="106" t="s">
        <v>8</v>
      </c>
      <c r="W25" s="105"/>
      <c r="X25" s="105"/>
    </row>
    <row r="26">
      <c r="A26" s="105"/>
      <c r="B26" s="106" t="s">
        <v>34</v>
      </c>
      <c r="C26" s="105"/>
      <c r="D26" s="105"/>
      <c r="E26" s="105"/>
      <c r="F26" s="106" t="s">
        <v>11</v>
      </c>
      <c r="G26" s="105"/>
      <c r="H26" s="105"/>
      <c r="I26" s="105"/>
      <c r="J26" s="105"/>
      <c r="K26" s="106" t="s">
        <v>8</v>
      </c>
      <c r="L26" s="105"/>
      <c r="M26" s="105"/>
      <c r="N26" s="105"/>
      <c r="O26" s="105"/>
      <c r="P26" s="105"/>
      <c r="Q26" s="105"/>
      <c r="R26" s="108" t="s">
        <v>8</v>
      </c>
      <c r="S26" s="105"/>
      <c r="T26" s="105"/>
      <c r="U26" s="105"/>
      <c r="V26" s="105"/>
      <c r="W26" s="105"/>
      <c r="X26" s="105"/>
    </row>
    <row r="27">
      <c r="A27" s="109" t="s">
        <v>122</v>
      </c>
      <c r="B27" s="110"/>
      <c r="C27" s="110"/>
      <c r="D27" s="109" t="s">
        <v>123</v>
      </c>
      <c r="E27" s="110"/>
      <c r="F27" s="110"/>
      <c r="G27" s="110"/>
      <c r="H27" s="110"/>
      <c r="I27" s="110"/>
      <c r="J27" s="110"/>
      <c r="K27" s="110"/>
      <c r="L27" s="110"/>
      <c r="M27" s="110"/>
      <c r="N27" s="110"/>
      <c r="O27" s="109" t="s">
        <v>30</v>
      </c>
      <c r="P27" s="110"/>
      <c r="Q27" s="110"/>
      <c r="R27" s="110"/>
      <c r="S27" s="110"/>
      <c r="T27" s="110"/>
      <c r="U27" s="109" t="s">
        <v>8</v>
      </c>
      <c r="V27" s="110"/>
      <c r="W27" s="110"/>
      <c r="X27" s="110"/>
    </row>
    <row r="28">
      <c r="A28" s="110"/>
      <c r="B28" s="110"/>
      <c r="C28" s="109" t="s">
        <v>8</v>
      </c>
      <c r="D28" s="110"/>
      <c r="E28" s="110"/>
      <c r="F28" s="110"/>
      <c r="G28" s="110"/>
      <c r="H28" s="110"/>
      <c r="I28" s="110"/>
      <c r="J28" s="110"/>
      <c r="K28" s="110"/>
      <c r="L28" s="110"/>
      <c r="M28" s="110"/>
      <c r="N28" s="109" t="s">
        <v>8</v>
      </c>
      <c r="O28" s="110"/>
      <c r="P28" s="110"/>
      <c r="Q28" s="109" t="s">
        <v>8</v>
      </c>
      <c r="R28" s="110"/>
      <c r="S28" s="110"/>
      <c r="T28" s="110"/>
      <c r="U28" s="110"/>
      <c r="V28" s="110"/>
      <c r="W28" s="109" t="s">
        <v>8</v>
      </c>
      <c r="X28" s="110"/>
    </row>
    <row r="29">
      <c r="A29" s="110"/>
      <c r="B29" s="110"/>
      <c r="C29" s="110"/>
      <c r="D29" s="110"/>
      <c r="E29" s="109" t="s">
        <v>18</v>
      </c>
      <c r="F29" s="110"/>
      <c r="G29" s="110"/>
      <c r="H29" s="109" t="s">
        <v>8</v>
      </c>
      <c r="I29" s="109"/>
      <c r="J29" s="110"/>
      <c r="K29" s="110"/>
      <c r="L29" s="110"/>
      <c r="M29" s="110"/>
      <c r="N29" s="110"/>
      <c r="O29" s="111" t="s">
        <v>8</v>
      </c>
      <c r="P29" s="110"/>
      <c r="Q29" s="110"/>
      <c r="R29" s="112" t="s">
        <v>8</v>
      </c>
      <c r="S29" s="110"/>
      <c r="T29" s="109" t="s">
        <v>8</v>
      </c>
      <c r="U29" s="110"/>
      <c r="V29" s="110"/>
      <c r="W29" s="110"/>
      <c r="X29" s="110"/>
    </row>
    <row r="30">
      <c r="A30" s="110"/>
      <c r="B30" s="110"/>
      <c r="C30" s="110"/>
      <c r="D30" s="110"/>
      <c r="E30" s="110"/>
      <c r="F30" s="110"/>
      <c r="G30" s="110"/>
      <c r="H30" s="110"/>
      <c r="I30" s="110"/>
      <c r="J30" s="110"/>
      <c r="K30" s="110"/>
      <c r="L30" s="109" t="s">
        <v>8</v>
      </c>
      <c r="M30" s="110"/>
      <c r="N30" s="110"/>
      <c r="O30" s="110"/>
      <c r="P30" s="110"/>
      <c r="Q30" s="110"/>
      <c r="R30" s="110"/>
      <c r="S30" s="110"/>
      <c r="T30" s="110"/>
      <c r="U30" s="110"/>
      <c r="V30" s="109" t="s">
        <v>8</v>
      </c>
      <c r="W30" s="110"/>
      <c r="X30" s="109" t="s">
        <v>8</v>
      </c>
    </row>
    <row r="31">
      <c r="A31" s="110"/>
      <c r="B31" s="110"/>
      <c r="C31" s="110"/>
      <c r="D31" s="110"/>
      <c r="E31" s="110"/>
      <c r="F31" s="110"/>
      <c r="G31" s="110"/>
      <c r="H31" s="110"/>
      <c r="I31" s="110"/>
      <c r="J31" s="109" t="s">
        <v>8</v>
      </c>
      <c r="K31" s="110"/>
      <c r="L31" s="110"/>
      <c r="M31" s="110"/>
      <c r="N31" s="110"/>
      <c r="O31" s="110"/>
      <c r="P31" s="110"/>
      <c r="Q31" s="110"/>
      <c r="R31" s="110"/>
      <c r="S31" s="110"/>
      <c r="T31" s="110"/>
      <c r="U31" s="110"/>
      <c r="V31" s="110"/>
      <c r="W31" s="110"/>
      <c r="X31" s="110"/>
    </row>
  </sheetData>
  <conditionalFormatting sqref="A1:H1">
    <cfRule type="colorScale" priority="1">
      <colorScale>
        <cfvo type="formula" val="0"/>
        <cfvo type="formula" val="50"/>
        <cfvo type="formula" val="100"/>
        <color rgb="FF1A1B2F"/>
        <color rgb="FF5F2EEA"/>
        <color rgb="FFB980F0"/>
      </colorScale>
    </cfRule>
  </conditionalFormatting>
  <dataValidations>
    <dataValidation type="list" allowBlank="1" sqref="M7:M22">
      <formula1>"Tinggi,Sedang,Ringan"</formula1>
    </dataValidation>
    <dataValidation type="list" allowBlank="1" sqref="I7:I22">
      <formula1>"Tugas,Ujian,Kegiatan Pribadi,Praktikum,Kuliah,JAR,JAP,T&amp;P,UPP,AP"</formula1>
    </dataValidation>
    <dataValidation type="custom" allowBlank="1" showDropDown="1" sqref="N7:O22">
      <formula1>OR(NOT(ISERROR(DATEVALUE(N7))), AND(ISNUMBER(N7), LEFT(CELL("format", N7))="D"))</formula1>
    </dataValidation>
    <dataValidation type="list" allowBlank="1" sqref="H7:H22">
      <formula1>"Akademik,Non-Akademik"</formula1>
    </dataValidation>
    <dataValidation allowBlank="1" showDropDown="1" sqref="P7:P22"/>
    <dataValidation type="custom" allowBlank="1" showDropDown="1" sqref="Q7:Q22">
      <formula1>AND(ISNUMBER(Q7),(NOT(OR(NOT(ISERROR(DATEVALUE(Q7))), AND(ISNUMBER(Q7), LEFT(CELL("format", Q7))="D")))))</formula1>
    </dataValidation>
    <dataValidation type="list" allowBlank="1" sqref="L7:L22">
      <formula1>"Belum dimulai,Dalam proses,Selesai"</formula1>
    </dataValidation>
    <dataValidation type="list" allowBlank="1" sqref="K7:K22">
      <formula1>"Lain-lain,Literasi Digital,Matematika Diskrit,Pancasila,Pemograman Dasar,Praktikum,Arsitektur Komputer dan Sistem Operasi,Aljabar Matriks,Matematika Dasar,Kalkulus Lanjut,Struktur Data dan Algoritma,Pendidikan Kewarganegaraan,Konservasi Sumber Daya Alam d"&amp;"an Lingkungan,Teori Probabilitas,Interaksi Manusia dan Komputer,Etika Kecerdasan Artifisial,Statistika Inferensial,Kecerdasan Artifisial,Keamanan dan Integritas Data,Pemrosesan Teks,Basis Data,Desain dan Analisis Algoritma,Pengolahan Sinyal Digital,Bahasa"&amp;" Indonesia,Penambangan Data,Data Warehouse dan Komputasi Terdistribusi,Pengolahan Citra Digital,Analisis Multivariat,Pembelajaran Mesin Dasar,Rekayasa Perangkat Lunak,Pendidikan Jasmani dan Kebugaran,Tata Tulis Ilmiah,Komunikasi Publik,Kewirausahaan,Pilih"&amp;"an 3,Pilihan 4,Pilihan 5,Pilihan 6,Creative Thinking,Bahasa Inggris,Manajemen Risiko,Pilihan 7,Etika Profesi,Kecerdasan Bisnis,SIM,Manajemen Proyek,Pilihan 8,Pembelajaran Mesin Lanjut,Analisis Big Data,Graf Sains Data,Pilihan 1,Pilihan 2,Proposal Tugas Ak"&amp;"hir,Tugas Akhir"</formula1>
    </dataValidation>
  </dataValidations>
  <hyperlinks>
    <hyperlink display="HOME" location="Home!A1" ref="A1"/>
    <hyperlink display="DASHBOARD" location="Dashboard!A1" ref="B1"/>
    <hyperlink display="ENTRY DATA" location="'Entry Data'!A1" ref="C1"/>
    <hyperlink display="DATA BASE" location="Database!A1" ref="D1"/>
    <hyperlink display="GRAPH" location="Graph!A1" ref="E1"/>
    <hyperlink display="JADWAL" location="'Jadwal Kuliah'!A1" ref="F1"/>
    <hyperlink display="KALENDER" location="'Kalender '!A1" ref="G1"/>
    <hyperlink display="TRACKER" location="'Tracking Matkul'!A1" ref="H1"/>
  </hyperlink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4.13"/>
    <col customWidth="1" min="3" max="3" width="36.63"/>
    <col customWidth="1" min="5" max="5" width="12.5"/>
    <col customWidth="1" min="7" max="7" width="14.5"/>
    <col customWidth="1" min="8" max="8" width="13.38"/>
    <col customWidth="1" min="10" max="10" width="16.0"/>
    <col customWidth="1" min="11" max="11" width="15.63"/>
    <col customWidth="1" min="13" max="15" width="18.75"/>
    <col customWidth="1" min="16" max="16" width="13.88"/>
    <col customWidth="1" min="17" max="17" width="13.5"/>
    <col customWidth="1" min="18" max="18" width="15.13"/>
    <col customWidth="1" min="19" max="19" width="26.75"/>
    <col customWidth="1" min="20" max="20" width="14.63"/>
    <col customWidth="1" min="21" max="21" width="14.13"/>
    <col customWidth="1" min="24" max="24" width="12.5"/>
    <col customWidth="1" min="26" max="26" width="13.25"/>
    <col customWidth="1" min="28" max="28" width="14.63"/>
    <col customWidth="1" min="29" max="29" width="17.5"/>
    <col customWidth="1" min="31" max="31" width="9.5"/>
    <col customWidth="1" min="33" max="33" width="14.5"/>
    <col customWidth="1" min="34" max="34" width="14.25"/>
  </cols>
  <sheetData>
    <row r="1" ht="21.75" customHeight="1">
      <c r="A1" s="113" t="s">
        <v>0</v>
      </c>
      <c r="B1" s="114" t="s">
        <v>1</v>
      </c>
      <c r="C1" s="115" t="s">
        <v>2</v>
      </c>
      <c r="D1" s="114" t="s">
        <v>3</v>
      </c>
      <c r="E1" s="114" t="s">
        <v>4</v>
      </c>
      <c r="F1" s="115" t="s">
        <v>5</v>
      </c>
      <c r="G1" s="114" t="s">
        <v>6</v>
      </c>
      <c r="H1" s="114" t="s">
        <v>7</v>
      </c>
      <c r="I1" s="77"/>
      <c r="J1" s="77"/>
      <c r="K1" s="77"/>
      <c r="L1" s="77"/>
      <c r="M1" s="77"/>
      <c r="N1" s="77"/>
      <c r="O1" s="77"/>
      <c r="P1" s="77"/>
      <c r="Q1" s="77"/>
      <c r="R1" s="116"/>
      <c r="S1" s="77"/>
      <c r="T1" s="77"/>
      <c r="U1" s="77"/>
      <c r="V1" s="77"/>
      <c r="W1" s="77"/>
      <c r="X1" s="77"/>
      <c r="Y1" s="77"/>
      <c r="Z1" s="77"/>
      <c r="AA1" s="77"/>
      <c r="AB1" s="77"/>
      <c r="AC1" s="77"/>
      <c r="AD1" s="77"/>
      <c r="AE1" s="77"/>
      <c r="AF1" s="77"/>
      <c r="AG1" s="77"/>
      <c r="AH1" s="77"/>
      <c r="AI1" s="77"/>
    </row>
    <row r="2">
      <c r="A2" s="77"/>
      <c r="B2" s="77"/>
      <c r="C2" s="77"/>
      <c r="D2" s="77"/>
      <c r="E2" s="77"/>
      <c r="F2" s="77"/>
      <c r="G2" s="77"/>
      <c r="H2" s="77"/>
      <c r="I2" s="77"/>
      <c r="J2" s="77"/>
      <c r="K2" s="77"/>
      <c r="L2" s="77"/>
      <c r="M2" s="77"/>
      <c r="N2" s="77"/>
      <c r="O2" s="77"/>
      <c r="P2" s="77"/>
      <c r="Q2" s="77"/>
      <c r="R2" s="117"/>
      <c r="S2" s="75"/>
      <c r="T2" s="75" t="s">
        <v>8</v>
      </c>
      <c r="U2" s="118" t="s">
        <v>8</v>
      </c>
      <c r="V2" s="77"/>
      <c r="W2" s="77"/>
      <c r="X2" s="77"/>
      <c r="Y2" s="77"/>
      <c r="Z2" s="77"/>
      <c r="AA2" s="77"/>
      <c r="AB2" s="77"/>
      <c r="AC2" s="77"/>
      <c r="AD2" s="77"/>
      <c r="AE2" s="77"/>
      <c r="AF2" s="77"/>
      <c r="AG2" s="77"/>
      <c r="AH2" s="77"/>
      <c r="AI2" s="77"/>
    </row>
    <row r="3">
      <c r="A3" s="77"/>
      <c r="B3" s="77"/>
      <c r="C3" s="77"/>
      <c r="D3" s="77"/>
      <c r="E3" s="77"/>
      <c r="F3" s="75" t="s">
        <v>8</v>
      </c>
      <c r="G3" s="77"/>
      <c r="H3" s="77"/>
      <c r="I3" s="77"/>
      <c r="J3" s="75" t="s">
        <v>8</v>
      </c>
      <c r="K3" s="77"/>
      <c r="L3" s="77"/>
      <c r="M3" s="77"/>
      <c r="N3" s="77"/>
      <c r="O3" s="77"/>
      <c r="P3" s="77"/>
      <c r="Q3" s="77"/>
      <c r="R3" s="116"/>
      <c r="S3" s="77"/>
      <c r="T3" s="77"/>
      <c r="U3" s="77"/>
      <c r="V3" s="77"/>
      <c r="W3" s="75" t="s">
        <v>8</v>
      </c>
      <c r="X3" s="77"/>
      <c r="Y3" s="75" t="s">
        <v>8</v>
      </c>
      <c r="Z3" s="77"/>
      <c r="AA3" s="77"/>
      <c r="AB3" s="77"/>
      <c r="AC3" s="77"/>
      <c r="AD3" s="77"/>
      <c r="AE3" s="77"/>
      <c r="AF3" s="77"/>
      <c r="AG3" s="77"/>
      <c r="AH3" s="77"/>
      <c r="AI3" s="77"/>
    </row>
    <row r="4">
      <c r="A4" s="77"/>
      <c r="B4" s="77"/>
      <c r="C4" s="75"/>
      <c r="D4" s="75" t="s">
        <v>8</v>
      </c>
      <c r="E4" s="77"/>
      <c r="F4" s="77"/>
      <c r="G4" s="77"/>
      <c r="H4" s="75" t="s">
        <v>8</v>
      </c>
      <c r="I4" s="77"/>
      <c r="J4" s="77"/>
      <c r="K4" s="77"/>
      <c r="L4" s="75" t="s">
        <v>8</v>
      </c>
      <c r="M4" s="77"/>
      <c r="N4" s="77"/>
      <c r="O4" s="77"/>
      <c r="P4" s="77"/>
      <c r="Q4" s="75"/>
      <c r="R4" s="116"/>
      <c r="S4" s="77"/>
      <c r="T4" s="77"/>
      <c r="U4" s="77"/>
      <c r="V4" s="77"/>
      <c r="W4" s="77"/>
      <c r="X4" s="77"/>
      <c r="Y4" s="77"/>
      <c r="Z4" s="77"/>
      <c r="AA4" s="77"/>
      <c r="AB4" s="77"/>
      <c r="AC4" s="77"/>
      <c r="AD4" s="77"/>
      <c r="AE4" s="77"/>
      <c r="AF4" s="77"/>
      <c r="AG4" s="77"/>
      <c r="AH4" s="77"/>
      <c r="AI4" s="77"/>
    </row>
    <row r="5">
      <c r="A5" s="77"/>
      <c r="B5" s="77"/>
      <c r="C5" s="77"/>
      <c r="D5" s="77"/>
      <c r="E5" s="77"/>
      <c r="F5" s="77"/>
      <c r="G5" s="77"/>
      <c r="H5" s="77"/>
      <c r="I5" s="77"/>
      <c r="J5" s="77"/>
      <c r="K5" s="77"/>
      <c r="L5" s="77"/>
      <c r="M5" s="77"/>
      <c r="N5" s="77"/>
      <c r="O5" s="77"/>
      <c r="P5" s="75"/>
      <c r="Q5" s="77"/>
      <c r="R5" s="119"/>
      <c r="S5" s="120"/>
      <c r="T5" s="120"/>
      <c r="U5" s="120"/>
      <c r="V5" s="120"/>
      <c r="W5" s="120"/>
      <c r="X5" s="120"/>
      <c r="Y5" s="120"/>
      <c r="Z5" s="120"/>
      <c r="AA5" s="121" t="s">
        <v>8</v>
      </c>
      <c r="AB5" s="77"/>
      <c r="AC5" s="77"/>
      <c r="AD5" s="77"/>
      <c r="AE5" s="77"/>
      <c r="AF5" s="77"/>
      <c r="AG5" s="77"/>
      <c r="AH5" s="77"/>
      <c r="AI5" s="77"/>
    </row>
    <row r="6" ht="22.5" customHeight="1">
      <c r="A6" s="77"/>
      <c r="B6" s="57" t="s">
        <v>40</v>
      </c>
      <c r="C6" s="57" t="s">
        <v>41</v>
      </c>
      <c r="D6" s="57" t="s">
        <v>42</v>
      </c>
      <c r="E6" s="57" t="s">
        <v>43</v>
      </c>
      <c r="F6" s="57" t="s">
        <v>44</v>
      </c>
      <c r="G6" s="57" t="s">
        <v>45</v>
      </c>
      <c r="H6" s="57" t="s">
        <v>124</v>
      </c>
      <c r="I6" s="57" t="s">
        <v>49</v>
      </c>
      <c r="J6" s="57" t="s">
        <v>125</v>
      </c>
      <c r="K6" s="57" t="s">
        <v>126</v>
      </c>
      <c r="L6" s="77"/>
      <c r="M6" s="57" t="s">
        <v>40</v>
      </c>
      <c r="N6" s="57" t="s">
        <v>61</v>
      </c>
      <c r="O6" s="57" t="s">
        <v>41</v>
      </c>
      <c r="P6" s="57" t="s">
        <v>51</v>
      </c>
      <c r="Q6" s="77"/>
      <c r="R6" s="122" t="s">
        <v>40</v>
      </c>
      <c r="S6" s="122" t="s">
        <v>41</v>
      </c>
      <c r="T6" s="122" t="s">
        <v>127</v>
      </c>
      <c r="U6" s="122" t="s">
        <v>128</v>
      </c>
      <c r="V6" s="122" t="s">
        <v>89</v>
      </c>
      <c r="W6" s="122" t="s">
        <v>129</v>
      </c>
      <c r="X6" s="122" t="s">
        <v>130</v>
      </c>
      <c r="Y6" s="122" t="s">
        <v>94</v>
      </c>
      <c r="Z6" s="122" t="s">
        <v>131</v>
      </c>
      <c r="AA6" s="122" t="s">
        <v>132</v>
      </c>
      <c r="AB6" s="77"/>
      <c r="AC6" s="77"/>
      <c r="AD6" s="77"/>
      <c r="AE6" s="77"/>
      <c r="AF6" s="77"/>
      <c r="AG6" s="77"/>
      <c r="AH6" s="77"/>
      <c r="AI6" s="77"/>
    </row>
    <row r="7" ht="22.5" customHeight="1">
      <c r="A7" s="77"/>
      <c r="B7" s="123">
        <v>1.0</v>
      </c>
      <c r="C7" s="124" t="s">
        <v>103</v>
      </c>
      <c r="D7" s="123" t="s">
        <v>133</v>
      </c>
      <c r="E7" s="125">
        <v>3.0</v>
      </c>
      <c r="F7" s="126" t="s">
        <v>134</v>
      </c>
      <c r="G7" s="126" t="s">
        <v>135</v>
      </c>
      <c r="H7" s="127">
        <f t="shared" ref="H7:H60" si="1">LET(
  matkul, C7,
  berjalan, K7,
  jmlAbsen, COUNTIFS(O:O, matkul, P:P, "&lt;&gt;"),
  IF(
    berjalan = "",
    "",
    1 - (jmlAbsen / berjalan)
  )
)
</f>
        <v>0.9230769231</v>
      </c>
      <c r="I7" s="127">
        <f t="shared" ref="I7:I60" si="2">IF(K7="","", K7 / J7)
</f>
        <v>0.8125</v>
      </c>
      <c r="J7" s="128">
        <v>16.0</v>
      </c>
      <c r="K7" s="128">
        <v>13.0</v>
      </c>
      <c r="L7" s="77"/>
      <c r="M7" s="123">
        <v>1.0</v>
      </c>
      <c r="N7" s="129">
        <v>45962.0</v>
      </c>
      <c r="O7" s="124" t="s">
        <v>103</v>
      </c>
      <c r="P7" s="130" t="s">
        <v>136</v>
      </c>
      <c r="Q7" s="77"/>
      <c r="R7" s="131">
        <v>1.0</v>
      </c>
      <c r="S7" s="67" t="str">
        <f t="shared" ref="S7:S60" si="3">C7</f>
        <v>Literasi Digital</v>
      </c>
      <c r="T7" s="132">
        <v>98.0</v>
      </c>
      <c r="U7" s="132">
        <v>89.0</v>
      </c>
      <c r="V7" s="132">
        <v>88.0</v>
      </c>
      <c r="W7" s="132">
        <v>96.0</v>
      </c>
      <c r="X7" s="132">
        <v>90.0</v>
      </c>
      <c r="Y7" s="132">
        <v>92.0</v>
      </c>
      <c r="Z7" s="132">
        <v>94.0</v>
      </c>
      <c r="AA7" s="132" t="s">
        <v>137</v>
      </c>
      <c r="AB7" s="77"/>
      <c r="AC7" s="77"/>
      <c r="AD7" s="77"/>
      <c r="AE7" s="77"/>
      <c r="AF7" s="77"/>
      <c r="AG7" s="77"/>
      <c r="AH7" s="77"/>
      <c r="AI7" s="77"/>
    </row>
    <row r="8" ht="22.5" customHeight="1">
      <c r="A8" s="77"/>
      <c r="B8" s="123">
        <v>1.0</v>
      </c>
      <c r="C8" s="124" t="s">
        <v>83</v>
      </c>
      <c r="D8" s="123" t="s">
        <v>133</v>
      </c>
      <c r="E8" s="125">
        <v>3.0</v>
      </c>
      <c r="F8" s="126" t="s">
        <v>138</v>
      </c>
      <c r="G8" s="126" t="s">
        <v>139</v>
      </c>
      <c r="H8" s="127">
        <f t="shared" si="1"/>
        <v>1</v>
      </c>
      <c r="I8" s="127">
        <f t="shared" si="2"/>
        <v>0.8125</v>
      </c>
      <c r="J8" s="128">
        <v>16.0</v>
      </c>
      <c r="K8" s="128">
        <v>13.0</v>
      </c>
      <c r="L8" s="77"/>
      <c r="M8" s="133">
        <v>1.0</v>
      </c>
      <c r="N8" s="129">
        <v>45972.0</v>
      </c>
      <c r="O8" s="134" t="s">
        <v>95</v>
      </c>
      <c r="P8" s="130" t="s">
        <v>140</v>
      </c>
      <c r="Q8" s="77"/>
      <c r="R8" s="131">
        <v>1.0</v>
      </c>
      <c r="S8" s="67" t="str">
        <f t="shared" si="3"/>
        <v>Matematika Diskrit</v>
      </c>
      <c r="T8" s="132">
        <v>96.0</v>
      </c>
      <c r="U8" s="132">
        <v>90.0</v>
      </c>
      <c r="V8" s="132">
        <v>91.0</v>
      </c>
      <c r="W8" s="132">
        <v>84.0</v>
      </c>
      <c r="X8" s="132">
        <v>92.0</v>
      </c>
      <c r="Y8" s="132">
        <v>94.0</v>
      </c>
      <c r="Z8" s="132">
        <v>88.0</v>
      </c>
      <c r="AA8" s="132" t="s">
        <v>137</v>
      </c>
      <c r="AB8" s="77"/>
      <c r="AC8" s="77"/>
      <c r="AD8" s="77"/>
      <c r="AE8" s="77"/>
      <c r="AF8" s="77"/>
      <c r="AG8" s="77"/>
      <c r="AH8" s="77"/>
      <c r="AI8" s="77"/>
    </row>
    <row r="9" ht="22.5" customHeight="1">
      <c r="A9" s="77"/>
      <c r="B9" s="123">
        <v>1.0</v>
      </c>
      <c r="C9" s="124" t="s">
        <v>98</v>
      </c>
      <c r="D9" s="123" t="s">
        <v>141</v>
      </c>
      <c r="E9" s="125">
        <v>3.0</v>
      </c>
      <c r="F9" s="126" t="s">
        <v>142</v>
      </c>
      <c r="G9" s="126" t="s">
        <v>135</v>
      </c>
      <c r="H9" s="127">
        <f t="shared" si="1"/>
        <v>1</v>
      </c>
      <c r="I9" s="127">
        <f t="shared" si="2"/>
        <v>0.8125</v>
      </c>
      <c r="J9" s="128">
        <v>16.0</v>
      </c>
      <c r="K9" s="128">
        <v>13.0</v>
      </c>
      <c r="L9" s="77"/>
      <c r="M9" s="133">
        <v>1.0</v>
      </c>
      <c r="N9" s="129">
        <v>45970.0</v>
      </c>
      <c r="O9" s="134" t="s">
        <v>95</v>
      </c>
      <c r="P9" s="130" t="s">
        <v>136</v>
      </c>
      <c r="Q9" s="77"/>
      <c r="R9" s="131">
        <v>1.0</v>
      </c>
      <c r="S9" s="67" t="str">
        <f t="shared" si="3"/>
        <v>Pancasila</v>
      </c>
      <c r="T9" s="132">
        <v>97.0</v>
      </c>
      <c r="U9" s="132">
        <v>96.0</v>
      </c>
      <c r="V9" s="132">
        <v>90.0</v>
      </c>
      <c r="W9" s="132">
        <v>96.0</v>
      </c>
      <c r="X9" s="132">
        <v>93.0</v>
      </c>
      <c r="Y9" s="132">
        <v>85.0</v>
      </c>
      <c r="Z9" s="132">
        <v>98.0</v>
      </c>
      <c r="AA9" s="132" t="s">
        <v>137</v>
      </c>
      <c r="AB9" s="77"/>
      <c r="AC9" s="77"/>
      <c r="AD9" s="77"/>
      <c r="AE9" s="77"/>
      <c r="AF9" s="77"/>
      <c r="AG9" s="77"/>
      <c r="AH9" s="77"/>
      <c r="AI9" s="77"/>
    </row>
    <row r="10" ht="22.5" customHeight="1">
      <c r="A10" s="77"/>
      <c r="B10" s="123">
        <v>1.0</v>
      </c>
      <c r="C10" s="135" t="s">
        <v>95</v>
      </c>
      <c r="D10" s="126" t="s">
        <v>141</v>
      </c>
      <c r="E10" s="125">
        <v>2.0</v>
      </c>
      <c r="F10" s="126" t="s">
        <v>143</v>
      </c>
      <c r="G10" s="126" t="s">
        <v>144</v>
      </c>
      <c r="H10" s="127">
        <f t="shared" si="1"/>
        <v>0.8461538462</v>
      </c>
      <c r="I10" s="127">
        <f t="shared" si="2"/>
        <v>0.8125</v>
      </c>
      <c r="J10" s="128">
        <v>16.0</v>
      </c>
      <c r="K10" s="128">
        <v>13.0</v>
      </c>
      <c r="L10" s="77"/>
      <c r="M10" s="123"/>
      <c r="N10" s="129"/>
      <c r="O10" s="134"/>
      <c r="P10" s="130"/>
      <c r="Q10" s="77"/>
      <c r="R10" s="136">
        <v>1.0</v>
      </c>
      <c r="S10" s="67" t="str">
        <f t="shared" si="3"/>
        <v>Pemograman Dasar</v>
      </c>
      <c r="T10" s="132">
        <v>95.0</v>
      </c>
      <c r="U10" s="132">
        <v>98.0</v>
      </c>
      <c r="V10" s="132">
        <v>91.0</v>
      </c>
      <c r="W10" s="132">
        <v>93.0</v>
      </c>
      <c r="X10" s="132">
        <v>96.0</v>
      </c>
      <c r="Y10" s="132">
        <v>82.0</v>
      </c>
      <c r="Z10" s="132">
        <v>97.0</v>
      </c>
      <c r="AA10" s="132" t="s">
        <v>137</v>
      </c>
      <c r="AB10" s="77"/>
      <c r="AC10" s="77"/>
      <c r="AD10" s="77"/>
      <c r="AE10" s="77"/>
      <c r="AF10" s="77"/>
      <c r="AG10" s="77"/>
      <c r="AH10" s="77"/>
      <c r="AI10" s="77"/>
    </row>
    <row r="11" ht="22.5" customHeight="1">
      <c r="A11" s="80"/>
      <c r="B11" s="123">
        <v>1.0</v>
      </c>
      <c r="C11" s="124" t="s">
        <v>81</v>
      </c>
      <c r="D11" s="123" t="s">
        <v>145</v>
      </c>
      <c r="E11" s="66">
        <v>2.0</v>
      </c>
      <c r="F11" s="66" t="s">
        <v>146</v>
      </c>
      <c r="G11" s="66" t="s">
        <v>147</v>
      </c>
      <c r="H11" s="127">
        <f t="shared" si="1"/>
        <v>1</v>
      </c>
      <c r="I11" s="127">
        <f t="shared" si="2"/>
        <v>0.8125</v>
      </c>
      <c r="J11" s="128">
        <v>16.0</v>
      </c>
      <c r="K11" s="128">
        <v>13.0</v>
      </c>
      <c r="L11" s="80"/>
      <c r="M11" s="123"/>
      <c r="N11" s="129"/>
      <c r="O11" s="124"/>
      <c r="P11" s="137"/>
      <c r="Q11" s="80"/>
      <c r="R11" s="136">
        <v>1.0</v>
      </c>
      <c r="S11" s="67" t="str">
        <f t="shared" si="3"/>
        <v>Praktikum</v>
      </c>
      <c r="T11" s="132">
        <v>88.0</v>
      </c>
      <c r="U11" s="132" t="s">
        <v>137</v>
      </c>
      <c r="V11" s="132" t="s">
        <v>137</v>
      </c>
      <c r="W11" s="132">
        <v>92.0</v>
      </c>
      <c r="X11" s="132" t="s">
        <v>137</v>
      </c>
      <c r="Y11" s="132" t="s">
        <v>137</v>
      </c>
      <c r="Z11" s="132">
        <v>96.0</v>
      </c>
      <c r="AA11" s="132" t="s">
        <v>137</v>
      </c>
      <c r="AB11" s="80"/>
      <c r="AC11" s="80"/>
      <c r="AD11" s="80"/>
      <c r="AE11" s="80"/>
      <c r="AF11" s="80"/>
      <c r="AG11" s="80"/>
      <c r="AH11" s="80"/>
      <c r="AI11" s="80"/>
    </row>
    <row r="12" ht="22.5" customHeight="1">
      <c r="A12" s="80"/>
      <c r="B12" s="123">
        <v>1.0</v>
      </c>
      <c r="C12" s="124" t="s">
        <v>111</v>
      </c>
      <c r="D12" s="123" t="s">
        <v>148</v>
      </c>
      <c r="E12" s="66">
        <v>3.0</v>
      </c>
      <c r="F12" s="66" t="s">
        <v>149</v>
      </c>
      <c r="G12" s="66" t="s">
        <v>139</v>
      </c>
      <c r="H12" s="127">
        <f t="shared" si="1"/>
        <v>1</v>
      </c>
      <c r="I12" s="127">
        <f t="shared" si="2"/>
        <v>0.8125</v>
      </c>
      <c r="J12" s="128">
        <v>16.0</v>
      </c>
      <c r="K12" s="128">
        <v>13.0</v>
      </c>
      <c r="L12" s="80"/>
      <c r="M12" s="123"/>
      <c r="N12" s="129"/>
      <c r="O12" s="124"/>
      <c r="P12" s="137"/>
      <c r="Q12" s="80"/>
      <c r="R12" s="136">
        <v>1.0</v>
      </c>
      <c r="S12" s="67" t="str">
        <f t="shared" si="3"/>
        <v>Arsitektur Komputer dan Sistem Operasi</v>
      </c>
      <c r="T12" s="132">
        <v>86.0</v>
      </c>
      <c r="U12" s="132">
        <v>74.0</v>
      </c>
      <c r="V12" s="132">
        <v>66.0</v>
      </c>
      <c r="W12" s="132">
        <v>88.0</v>
      </c>
      <c r="X12" s="132">
        <v>60.0</v>
      </c>
      <c r="Y12" s="132">
        <v>54.0</v>
      </c>
      <c r="Z12" s="132">
        <v>87.0</v>
      </c>
      <c r="AA12" s="132">
        <v>76.0</v>
      </c>
      <c r="AB12" s="80"/>
      <c r="AC12" s="80"/>
      <c r="AD12" s="80"/>
      <c r="AE12" s="80"/>
      <c r="AF12" s="80"/>
      <c r="AG12" s="80"/>
      <c r="AH12" s="80"/>
      <c r="AI12" s="80"/>
    </row>
    <row r="13" ht="22.5" customHeight="1">
      <c r="A13" s="80"/>
      <c r="B13" s="123">
        <v>1.0</v>
      </c>
      <c r="C13" s="124" t="s">
        <v>64</v>
      </c>
      <c r="D13" s="123" t="s">
        <v>148</v>
      </c>
      <c r="E13" s="66">
        <v>3.0</v>
      </c>
      <c r="F13" s="66" t="s">
        <v>138</v>
      </c>
      <c r="G13" s="66" t="s">
        <v>144</v>
      </c>
      <c r="H13" s="127">
        <f t="shared" si="1"/>
        <v>1</v>
      </c>
      <c r="I13" s="127">
        <f t="shared" si="2"/>
        <v>0.8125</v>
      </c>
      <c r="J13" s="128">
        <v>16.0</v>
      </c>
      <c r="K13" s="128">
        <v>13.0</v>
      </c>
      <c r="L13" s="80"/>
      <c r="M13" s="123"/>
      <c r="N13" s="129"/>
      <c r="O13" s="124"/>
      <c r="P13" s="137"/>
      <c r="Q13" s="80"/>
      <c r="R13" s="136">
        <v>1.0</v>
      </c>
      <c r="S13" s="67" t="str">
        <f t="shared" si="3"/>
        <v>Aljabar Matriks</v>
      </c>
      <c r="T13" s="132">
        <v>96.0</v>
      </c>
      <c r="U13" s="138">
        <v>88.0</v>
      </c>
      <c r="V13" s="138">
        <v>90.0</v>
      </c>
      <c r="W13" s="138">
        <v>94.0</v>
      </c>
      <c r="X13" s="138">
        <v>86.0</v>
      </c>
      <c r="Y13" s="138">
        <v>84.0</v>
      </c>
      <c r="Z13" s="138">
        <v>88.0</v>
      </c>
      <c r="AA13" s="138" t="s">
        <v>137</v>
      </c>
      <c r="AB13" s="80"/>
      <c r="AC13" s="80"/>
      <c r="AD13" s="80"/>
      <c r="AE13" s="80"/>
      <c r="AF13" s="80"/>
      <c r="AG13" s="80"/>
      <c r="AH13" s="80"/>
      <c r="AI13" s="80"/>
    </row>
    <row r="14" ht="22.5" customHeight="1">
      <c r="A14" s="80"/>
      <c r="B14" s="123">
        <v>1.0</v>
      </c>
      <c r="C14" s="124" t="s">
        <v>90</v>
      </c>
      <c r="D14" s="123" t="s">
        <v>150</v>
      </c>
      <c r="E14" s="66">
        <v>3.0</v>
      </c>
      <c r="F14" s="66" t="s">
        <v>143</v>
      </c>
      <c r="G14" s="66" t="s">
        <v>151</v>
      </c>
      <c r="H14" s="127">
        <f t="shared" si="1"/>
        <v>1</v>
      </c>
      <c r="I14" s="127">
        <f t="shared" si="2"/>
        <v>0.8125</v>
      </c>
      <c r="J14" s="128">
        <v>16.0</v>
      </c>
      <c r="K14" s="128">
        <v>13.0</v>
      </c>
      <c r="L14" s="80"/>
      <c r="M14" s="123"/>
      <c r="N14" s="129"/>
      <c r="O14" s="124"/>
      <c r="P14" s="137"/>
      <c r="Q14" s="80"/>
      <c r="R14" s="136">
        <v>1.0</v>
      </c>
      <c r="S14" s="67" t="str">
        <f t="shared" si="3"/>
        <v>Matematika Dasar</v>
      </c>
      <c r="T14" s="132">
        <v>92.0</v>
      </c>
      <c r="U14" s="132">
        <v>86.0</v>
      </c>
      <c r="V14" s="132">
        <v>90.0</v>
      </c>
      <c r="W14" s="132">
        <v>92.0</v>
      </c>
      <c r="X14" s="132">
        <v>90.0</v>
      </c>
      <c r="Y14" s="132">
        <v>92.0</v>
      </c>
      <c r="Z14" s="132">
        <v>95.0</v>
      </c>
      <c r="AA14" s="132" t="s">
        <v>137</v>
      </c>
      <c r="AB14" s="80"/>
      <c r="AC14" s="80"/>
      <c r="AD14" s="80"/>
      <c r="AE14" s="80"/>
      <c r="AF14" s="80"/>
      <c r="AG14" s="80"/>
      <c r="AH14" s="80"/>
      <c r="AI14" s="80"/>
    </row>
    <row r="15" ht="22.5" customHeight="1">
      <c r="A15" s="80"/>
      <c r="B15" s="123">
        <v>2.0</v>
      </c>
      <c r="C15" s="124" t="s">
        <v>152</v>
      </c>
      <c r="D15" s="133" t="s">
        <v>148</v>
      </c>
      <c r="E15" s="66">
        <v>3.0</v>
      </c>
      <c r="F15" s="66"/>
      <c r="G15" s="66"/>
      <c r="H15" s="127" t="str">
        <f t="shared" si="1"/>
        <v/>
      </c>
      <c r="I15" s="127" t="str">
        <f t="shared" si="2"/>
        <v/>
      </c>
      <c r="J15" s="66"/>
      <c r="K15" s="66"/>
      <c r="L15" s="80"/>
      <c r="M15" s="123"/>
      <c r="N15" s="129"/>
      <c r="O15" s="124"/>
      <c r="P15" s="137"/>
      <c r="Q15" s="80"/>
      <c r="R15" s="139">
        <v>2.0</v>
      </c>
      <c r="S15" s="67" t="str">
        <f t="shared" si="3"/>
        <v>Kalkulus Lanjut</v>
      </c>
      <c r="T15" s="140"/>
      <c r="U15" s="140"/>
      <c r="V15" s="140"/>
      <c r="W15" s="140"/>
      <c r="X15" s="140"/>
      <c r="Y15" s="132"/>
      <c r="Z15" s="132"/>
      <c r="AA15" s="132"/>
      <c r="AB15" s="80"/>
      <c r="AC15" s="80"/>
      <c r="AD15" s="80"/>
      <c r="AE15" s="80"/>
      <c r="AF15" s="80"/>
      <c r="AG15" s="80"/>
      <c r="AH15" s="80"/>
      <c r="AI15" s="80"/>
    </row>
    <row r="16" ht="22.5" customHeight="1">
      <c r="A16" s="80"/>
      <c r="B16" s="123">
        <v>2.0</v>
      </c>
      <c r="C16" s="124" t="s">
        <v>153</v>
      </c>
      <c r="D16" s="123"/>
      <c r="E16" s="66">
        <v>3.0</v>
      </c>
      <c r="F16" s="66"/>
      <c r="G16" s="66"/>
      <c r="H16" s="127" t="str">
        <f t="shared" si="1"/>
        <v/>
      </c>
      <c r="I16" s="127" t="str">
        <f t="shared" si="2"/>
        <v/>
      </c>
      <c r="J16" s="66"/>
      <c r="K16" s="66"/>
      <c r="L16" s="80"/>
      <c r="M16" s="123"/>
      <c r="N16" s="129"/>
      <c r="O16" s="124"/>
      <c r="P16" s="137"/>
      <c r="Q16" s="80"/>
      <c r="R16" s="139">
        <v>2.0</v>
      </c>
      <c r="S16" s="67" t="str">
        <f t="shared" si="3"/>
        <v>Struktur Data dan Algoritma</v>
      </c>
      <c r="T16" s="140"/>
      <c r="U16" s="140"/>
      <c r="V16" s="140"/>
      <c r="W16" s="140"/>
      <c r="X16" s="140"/>
      <c r="Y16" s="132"/>
      <c r="Z16" s="132"/>
      <c r="AA16" s="132"/>
      <c r="AB16" s="80"/>
      <c r="AC16" s="80"/>
      <c r="AD16" s="80"/>
      <c r="AE16" s="80"/>
      <c r="AF16" s="80"/>
      <c r="AG16" s="80"/>
      <c r="AH16" s="80"/>
      <c r="AI16" s="80"/>
    </row>
    <row r="17" ht="22.5" customHeight="1">
      <c r="A17" s="80"/>
      <c r="B17" s="123">
        <v>2.0</v>
      </c>
      <c r="C17" s="124" t="s">
        <v>154</v>
      </c>
      <c r="D17" s="123"/>
      <c r="E17" s="66">
        <v>2.0</v>
      </c>
      <c r="F17" s="66"/>
      <c r="G17" s="66"/>
      <c r="H17" s="127" t="str">
        <f t="shared" si="1"/>
        <v/>
      </c>
      <c r="I17" s="127" t="str">
        <f t="shared" si="2"/>
        <v/>
      </c>
      <c r="J17" s="128"/>
      <c r="K17" s="128"/>
      <c r="L17" s="80"/>
      <c r="M17" s="123"/>
      <c r="N17" s="129"/>
      <c r="O17" s="124"/>
      <c r="P17" s="137"/>
      <c r="Q17" s="80"/>
      <c r="R17" s="139">
        <v>2.0</v>
      </c>
      <c r="S17" s="67" t="str">
        <f t="shared" si="3"/>
        <v>Pendidikan Kewarganegaraan</v>
      </c>
      <c r="T17" s="140"/>
      <c r="U17" s="140"/>
      <c r="V17" s="140"/>
      <c r="W17" s="140"/>
      <c r="X17" s="140"/>
      <c r="Y17" s="132"/>
      <c r="Z17" s="132"/>
      <c r="AA17" s="132"/>
      <c r="AB17" s="80"/>
      <c r="AC17" s="80"/>
      <c r="AD17" s="80"/>
      <c r="AE17" s="80"/>
      <c r="AF17" s="80"/>
      <c r="AG17" s="80"/>
      <c r="AH17" s="80"/>
      <c r="AI17" s="80"/>
    </row>
    <row r="18" ht="22.5" customHeight="1">
      <c r="A18" s="80"/>
      <c r="B18" s="123">
        <v>2.0</v>
      </c>
      <c r="C18" s="124" t="s">
        <v>155</v>
      </c>
      <c r="D18" s="123"/>
      <c r="E18" s="66">
        <v>2.0</v>
      </c>
      <c r="F18" s="66"/>
      <c r="G18" s="66"/>
      <c r="H18" s="127" t="str">
        <f t="shared" si="1"/>
        <v/>
      </c>
      <c r="I18" s="127" t="str">
        <f t="shared" si="2"/>
        <v/>
      </c>
      <c r="J18" s="66"/>
      <c r="K18" s="66"/>
      <c r="L18" s="80"/>
      <c r="M18" s="123"/>
      <c r="N18" s="129"/>
      <c r="O18" s="124"/>
      <c r="P18" s="137"/>
      <c r="Q18" s="80"/>
      <c r="R18" s="139">
        <v>2.0</v>
      </c>
      <c r="S18" s="67" t="str">
        <f t="shared" si="3"/>
        <v>Pendidikan Agama</v>
      </c>
      <c r="T18" s="132"/>
      <c r="U18" s="132"/>
      <c r="V18" s="132"/>
      <c r="W18" s="132"/>
      <c r="X18" s="132"/>
      <c r="Y18" s="132"/>
      <c r="Z18" s="132"/>
      <c r="AA18" s="132"/>
      <c r="AB18" s="80"/>
      <c r="AC18" s="80"/>
      <c r="AD18" s="80"/>
      <c r="AE18" s="80"/>
      <c r="AF18" s="80"/>
      <c r="AG18" s="80"/>
      <c r="AH18" s="80"/>
      <c r="AI18" s="80"/>
    </row>
    <row r="19" ht="22.5" customHeight="1">
      <c r="A19" s="94" t="s">
        <v>8</v>
      </c>
      <c r="B19" s="123">
        <v>2.0</v>
      </c>
      <c r="C19" s="124" t="s">
        <v>156</v>
      </c>
      <c r="D19" s="123"/>
      <c r="E19" s="66">
        <v>2.0</v>
      </c>
      <c r="F19" s="67"/>
      <c r="G19" s="67"/>
      <c r="H19" s="127" t="str">
        <f t="shared" si="1"/>
        <v/>
      </c>
      <c r="I19" s="127" t="str">
        <f t="shared" si="2"/>
        <v/>
      </c>
      <c r="J19" s="66"/>
      <c r="K19" s="66"/>
      <c r="L19" s="80"/>
      <c r="M19" s="123"/>
      <c r="N19" s="129"/>
      <c r="O19" s="124"/>
      <c r="P19" s="137"/>
      <c r="Q19" s="80"/>
      <c r="R19" s="139">
        <v>2.0</v>
      </c>
      <c r="S19" s="67" t="str">
        <f t="shared" si="3"/>
        <v>Konservasi Sumber Daya Alam dan Lingkungan</v>
      </c>
      <c r="T19" s="132"/>
      <c r="U19" s="132"/>
      <c r="V19" s="132"/>
      <c r="W19" s="132"/>
      <c r="X19" s="132"/>
      <c r="Y19" s="132"/>
      <c r="Z19" s="132"/>
      <c r="AA19" s="132"/>
      <c r="AB19" s="80"/>
      <c r="AC19" s="80"/>
      <c r="AD19" s="80"/>
      <c r="AE19" s="80"/>
      <c r="AF19" s="80"/>
      <c r="AG19" s="80"/>
      <c r="AH19" s="80"/>
      <c r="AI19" s="80"/>
    </row>
    <row r="20" ht="22.5" customHeight="1">
      <c r="A20" s="80"/>
      <c r="B20" s="123">
        <v>2.0</v>
      </c>
      <c r="C20" s="124" t="s">
        <v>157</v>
      </c>
      <c r="D20" s="123"/>
      <c r="E20" s="66">
        <v>3.0</v>
      </c>
      <c r="F20" s="67"/>
      <c r="G20" s="67"/>
      <c r="H20" s="127" t="str">
        <f t="shared" si="1"/>
        <v/>
      </c>
      <c r="I20" s="127" t="str">
        <f t="shared" si="2"/>
        <v/>
      </c>
      <c r="J20" s="66"/>
      <c r="K20" s="66"/>
      <c r="L20" s="80"/>
      <c r="M20" s="123"/>
      <c r="N20" s="129"/>
      <c r="O20" s="124"/>
      <c r="P20" s="137"/>
      <c r="Q20" s="80"/>
      <c r="R20" s="139">
        <v>2.0</v>
      </c>
      <c r="S20" s="67" t="str">
        <f t="shared" si="3"/>
        <v>Teori Probabilitas</v>
      </c>
      <c r="T20" s="132"/>
      <c r="U20" s="132"/>
      <c r="V20" s="132"/>
      <c r="W20" s="132"/>
      <c r="X20" s="132"/>
      <c r="Y20" s="132"/>
      <c r="Z20" s="132"/>
      <c r="AA20" s="132"/>
      <c r="AB20" s="80"/>
      <c r="AC20" s="80"/>
      <c r="AD20" s="80"/>
      <c r="AE20" s="80"/>
      <c r="AF20" s="80"/>
      <c r="AG20" s="80"/>
      <c r="AH20" s="80"/>
      <c r="AI20" s="80"/>
    </row>
    <row r="21" ht="22.5" customHeight="1">
      <c r="A21" s="98"/>
      <c r="B21" s="123">
        <v>2.0</v>
      </c>
      <c r="C21" s="124" t="s">
        <v>158</v>
      </c>
      <c r="D21" s="123"/>
      <c r="E21" s="66">
        <v>3.0</v>
      </c>
      <c r="F21" s="67"/>
      <c r="G21" s="67"/>
      <c r="H21" s="127" t="str">
        <f t="shared" si="1"/>
        <v/>
      </c>
      <c r="I21" s="127" t="str">
        <f t="shared" si="2"/>
        <v/>
      </c>
      <c r="J21" s="66"/>
      <c r="K21" s="66"/>
      <c r="L21" s="98"/>
      <c r="M21" s="123"/>
      <c r="N21" s="129"/>
      <c r="O21" s="124"/>
      <c r="P21" s="137"/>
      <c r="Q21" s="98"/>
      <c r="R21" s="139">
        <v>2.0</v>
      </c>
      <c r="S21" s="67" t="str">
        <f t="shared" si="3"/>
        <v>Interaksi Manusia dan Komputer</v>
      </c>
      <c r="T21" s="132"/>
      <c r="U21" s="132"/>
      <c r="V21" s="132"/>
      <c r="W21" s="132"/>
      <c r="X21" s="132"/>
      <c r="Y21" s="132"/>
      <c r="Z21" s="132"/>
      <c r="AA21" s="132"/>
      <c r="AB21" s="98"/>
      <c r="AC21" s="98"/>
      <c r="AD21" s="98"/>
      <c r="AE21" s="98"/>
      <c r="AF21" s="98"/>
      <c r="AG21" s="98"/>
      <c r="AH21" s="98"/>
      <c r="AI21" s="98"/>
    </row>
    <row r="22" ht="22.5" customHeight="1">
      <c r="A22" s="98"/>
      <c r="B22" s="123">
        <v>2.0</v>
      </c>
      <c r="C22" s="124" t="s">
        <v>159</v>
      </c>
      <c r="D22" s="123"/>
      <c r="E22" s="66">
        <v>2.0</v>
      </c>
      <c r="F22" s="67"/>
      <c r="G22" s="67"/>
      <c r="H22" s="127" t="str">
        <f t="shared" si="1"/>
        <v/>
      </c>
      <c r="I22" s="127" t="str">
        <f t="shared" si="2"/>
        <v/>
      </c>
      <c r="J22" s="66"/>
      <c r="K22" s="66"/>
      <c r="L22" s="98"/>
      <c r="M22" s="123"/>
      <c r="N22" s="129"/>
      <c r="O22" s="124"/>
      <c r="P22" s="137"/>
      <c r="Q22" s="98"/>
      <c r="R22" s="139">
        <v>2.0</v>
      </c>
      <c r="S22" s="67" t="str">
        <f t="shared" si="3"/>
        <v>Etika Kecerdasan Artifisial</v>
      </c>
      <c r="T22" s="132"/>
      <c r="U22" s="132"/>
      <c r="V22" s="132"/>
      <c r="W22" s="132"/>
      <c r="X22" s="132"/>
      <c r="Y22" s="132"/>
      <c r="Z22" s="132"/>
      <c r="AA22" s="132"/>
      <c r="AB22" s="98"/>
      <c r="AC22" s="98"/>
      <c r="AD22" s="98"/>
      <c r="AE22" s="98"/>
      <c r="AF22" s="98"/>
      <c r="AG22" s="98"/>
      <c r="AH22" s="98"/>
      <c r="AI22" s="98"/>
    </row>
    <row r="23" ht="22.5" customHeight="1">
      <c r="A23" s="98"/>
      <c r="B23" s="123">
        <v>3.0</v>
      </c>
      <c r="C23" s="124" t="s">
        <v>160</v>
      </c>
      <c r="D23" s="123"/>
      <c r="E23" s="66">
        <v>3.0</v>
      </c>
      <c r="F23" s="67"/>
      <c r="G23" s="67"/>
      <c r="H23" s="127" t="str">
        <f t="shared" si="1"/>
        <v/>
      </c>
      <c r="I23" s="127" t="str">
        <f t="shared" si="2"/>
        <v/>
      </c>
      <c r="J23" s="66"/>
      <c r="K23" s="66"/>
      <c r="L23" s="98"/>
      <c r="M23" s="123"/>
      <c r="N23" s="129"/>
      <c r="O23" s="124"/>
      <c r="P23" s="137"/>
      <c r="Q23" s="98"/>
      <c r="R23" s="139">
        <v>3.0</v>
      </c>
      <c r="S23" s="67" t="str">
        <f t="shared" si="3"/>
        <v>Statistika Inferensial</v>
      </c>
      <c r="T23" s="132"/>
      <c r="U23" s="132"/>
      <c r="V23" s="132"/>
      <c r="W23" s="132"/>
      <c r="X23" s="132"/>
      <c r="Y23" s="132"/>
      <c r="Z23" s="132"/>
      <c r="AA23" s="132"/>
      <c r="AB23" s="98"/>
      <c r="AC23" s="98"/>
      <c r="AD23" s="98"/>
      <c r="AE23" s="98"/>
      <c r="AF23" s="98"/>
      <c r="AG23" s="98"/>
      <c r="AH23" s="98"/>
      <c r="AI23" s="98"/>
    </row>
    <row r="24" ht="22.5" customHeight="1">
      <c r="A24" s="98"/>
      <c r="B24" s="123">
        <v>3.0</v>
      </c>
      <c r="C24" s="124" t="s">
        <v>161</v>
      </c>
      <c r="D24" s="123"/>
      <c r="E24" s="66">
        <v>3.0</v>
      </c>
      <c r="F24" s="67"/>
      <c r="G24" s="67"/>
      <c r="H24" s="127" t="str">
        <f t="shared" si="1"/>
        <v/>
      </c>
      <c r="I24" s="127" t="str">
        <f t="shared" si="2"/>
        <v/>
      </c>
      <c r="J24" s="66"/>
      <c r="K24" s="66"/>
      <c r="L24" s="98"/>
      <c r="M24" s="123"/>
      <c r="N24" s="129"/>
      <c r="O24" s="124"/>
      <c r="P24" s="137"/>
      <c r="Q24" s="98"/>
      <c r="R24" s="139">
        <v>3.0</v>
      </c>
      <c r="S24" s="67" t="str">
        <f t="shared" si="3"/>
        <v>Kecerdasan Artifisial</v>
      </c>
      <c r="T24" s="132"/>
      <c r="U24" s="132"/>
      <c r="V24" s="132"/>
      <c r="W24" s="132"/>
      <c r="X24" s="132"/>
      <c r="Y24" s="132"/>
      <c r="Z24" s="132"/>
      <c r="AA24" s="132"/>
      <c r="AB24" s="98"/>
      <c r="AC24" s="98"/>
      <c r="AD24" s="98"/>
      <c r="AE24" s="98"/>
      <c r="AF24" s="98"/>
      <c r="AG24" s="98"/>
      <c r="AH24" s="98"/>
      <c r="AI24" s="98"/>
    </row>
    <row r="25" ht="22.5" customHeight="1">
      <c r="A25" s="98"/>
      <c r="B25" s="123">
        <v>3.0</v>
      </c>
      <c r="C25" s="124" t="s">
        <v>162</v>
      </c>
      <c r="D25" s="123"/>
      <c r="E25" s="66">
        <v>3.0</v>
      </c>
      <c r="F25" s="67"/>
      <c r="G25" s="67"/>
      <c r="H25" s="127" t="str">
        <f t="shared" si="1"/>
        <v/>
      </c>
      <c r="I25" s="127" t="str">
        <f t="shared" si="2"/>
        <v/>
      </c>
      <c r="J25" s="66"/>
      <c r="K25" s="66"/>
      <c r="L25" s="98"/>
      <c r="M25" s="123"/>
      <c r="N25" s="129"/>
      <c r="O25" s="124"/>
      <c r="P25" s="137"/>
      <c r="Q25" s="98"/>
      <c r="R25" s="139">
        <v>3.0</v>
      </c>
      <c r="S25" s="67" t="str">
        <f t="shared" si="3"/>
        <v>Keamanan dan Integritas Data</v>
      </c>
      <c r="T25" s="132"/>
      <c r="U25" s="132"/>
      <c r="V25" s="132"/>
      <c r="W25" s="132"/>
      <c r="X25" s="132"/>
      <c r="Y25" s="132"/>
      <c r="Z25" s="132"/>
      <c r="AA25" s="132"/>
      <c r="AB25" s="98"/>
      <c r="AC25" s="98"/>
      <c r="AD25" s="98"/>
      <c r="AE25" s="98"/>
      <c r="AF25" s="98"/>
      <c r="AG25" s="98"/>
      <c r="AH25" s="98"/>
      <c r="AI25" s="98"/>
    </row>
    <row r="26" ht="22.5" customHeight="1">
      <c r="A26" s="98"/>
      <c r="B26" s="123">
        <v>3.0</v>
      </c>
      <c r="C26" s="124" t="s">
        <v>163</v>
      </c>
      <c r="D26" s="123"/>
      <c r="E26" s="66">
        <v>3.0</v>
      </c>
      <c r="F26" s="67"/>
      <c r="G26" s="67"/>
      <c r="H26" s="127" t="str">
        <f t="shared" si="1"/>
        <v/>
      </c>
      <c r="I26" s="127" t="str">
        <f t="shared" si="2"/>
        <v/>
      </c>
      <c r="J26" s="66"/>
      <c r="K26" s="66"/>
      <c r="L26" s="98"/>
      <c r="M26" s="123"/>
      <c r="N26" s="129"/>
      <c r="O26" s="124"/>
      <c r="P26" s="137"/>
      <c r="Q26" s="98"/>
      <c r="R26" s="139">
        <v>3.0</v>
      </c>
      <c r="S26" s="67" t="str">
        <f t="shared" si="3"/>
        <v>Pemrosesan Teks</v>
      </c>
      <c r="T26" s="132"/>
      <c r="U26" s="132"/>
      <c r="V26" s="132"/>
      <c r="W26" s="132"/>
      <c r="X26" s="132"/>
      <c r="Y26" s="132"/>
      <c r="Z26" s="132"/>
      <c r="AA26" s="132"/>
      <c r="AB26" s="98"/>
      <c r="AC26" s="98"/>
      <c r="AD26" s="98"/>
      <c r="AE26" s="98"/>
      <c r="AF26" s="98"/>
      <c r="AG26" s="98"/>
      <c r="AH26" s="98"/>
      <c r="AI26" s="98"/>
    </row>
    <row r="27" ht="22.5" customHeight="1">
      <c r="A27" s="98"/>
      <c r="B27" s="123">
        <v>3.0</v>
      </c>
      <c r="C27" s="124" t="s">
        <v>164</v>
      </c>
      <c r="D27" s="123"/>
      <c r="E27" s="66">
        <v>3.0</v>
      </c>
      <c r="F27" s="67"/>
      <c r="G27" s="67"/>
      <c r="H27" s="127" t="str">
        <f t="shared" si="1"/>
        <v/>
      </c>
      <c r="I27" s="127" t="str">
        <f t="shared" si="2"/>
        <v/>
      </c>
      <c r="J27" s="66"/>
      <c r="K27" s="66"/>
      <c r="L27" s="98"/>
      <c r="M27" s="123"/>
      <c r="N27" s="129"/>
      <c r="O27" s="124"/>
      <c r="P27" s="137"/>
      <c r="Q27" s="98"/>
      <c r="R27" s="139">
        <v>3.0</v>
      </c>
      <c r="S27" s="67" t="str">
        <f t="shared" si="3"/>
        <v>Basis Data</v>
      </c>
      <c r="T27" s="132"/>
      <c r="U27" s="132"/>
      <c r="V27" s="132"/>
      <c r="W27" s="132"/>
      <c r="X27" s="132"/>
      <c r="Y27" s="132"/>
      <c r="Z27" s="132"/>
      <c r="AA27" s="132"/>
      <c r="AB27" s="98"/>
      <c r="AC27" s="98"/>
      <c r="AD27" s="98"/>
      <c r="AE27" s="98"/>
      <c r="AF27" s="98"/>
      <c r="AG27" s="98"/>
      <c r="AH27" s="98"/>
      <c r="AI27" s="98"/>
    </row>
    <row r="28" ht="22.5" customHeight="1">
      <c r="A28" s="98"/>
      <c r="B28" s="123">
        <v>3.0</v>
      </c>
      <c r="C28" s="124" t="s">
        <v>165</v>
      </c>
      <c r="D28" s="123"/>
      <c r="E28" s="66">
        <v>3.0</v>
      </c>
      <c r="F28" s="67"/>
      <c r="G28" s="67"/>
      <c r="H28" s="127" t="str">
        <f t="shared" si="1"/>
        <v/>
      </c>
      <c r="I28" s="127" t="str">
        <f t="shared" si="2"/>
        <v/>
      </c>
      <c r="J28" s="66"/>
      <c r="K28" s="66"/>
      <c r="L28" s="98"/>
      <c r="M28" s="123"/>
      <c r="N28" s="129"/>
      <c r="O28" s="124"/>
      <c r="P28" s="137"/>
      <c r="Q28" s="98"/>
      <c r="R28" s="139">
        <v>3.0</v>
      </c>
      <c r="S28" s="67" t="str">
        <f t="shared" si="3"/>
        <v>Desain dan Analisis Algoritma</v>
      </c>
      <c r="T28" s="132"/>
      <c r="U28" s="132"/>
      <c r="V28" s="132"/>
      <c r="W28" s="132"/>
      <c r="X28" s="132"/>
      <c r="Y28" s="132"/>
      <c r="Z28" s="132"/>
      <c r="AA28" s="132"/>
      <c r="AB28" s="98"/>
      <c r="AC28" s="98"/>
      <c r="AD28" s="98"/>
      <c r="AE28" s="98"/>
      <c r="AF28" s="98"/>
      <c r="AG28" s="98"/>
      <c r="AH28" s="98"/>
      <c r="AI28" s="98"/>
    </row>
    <row r="29" ht="22.5" customHeight="1">
      <c r="A29" s="98"/>
      <c r="B29" s="123">
        <v>3.0</v>
      </c>
      <c r="C29" s="124" t="s">
        <v>166</v>
      </c>
      <c r="D29" s="123"/>
      <c r="E29" s="66">
        <v>2.0</v>
      </c>
      <c r="F29" s="67"/>
      <c r="G29" s="67"/>
      <c r="H29" s="127" t="str">
        <f t="shared" si="1"/>
        <v/>
      </c>
      <c r="I29" s="127" t="str">
        <f t="shared" si="2"/>
        <v/>
      </c>
      <c r="J29" s="66"/>
      <c r="K29" s="66"/>
      <c r="L29" s="98"/>
      <c r="M29" s="123"/>
      <c r="N29" s="129"/>
      <c r="O29" s="124"/>
      <c r="P29" s="137"/>
      <c r="Q29" s="98"/>
      <c r="R29" s="139">
        <v>3.0</v>
      </c>
      <c r="S29" s="67" t="str">
        <f t="shared" si="3"/>
        <v>Pengolahan Sinyal Digital</v>
      </c>
      <c r="T29" s="132"/>
      <c r="U29" s="132"/>
      <c r="V29" s="132"/>
      <c r="W29" s="132"/>
      <c r="X29" s="132"/>
      <c r="Y29" s="132"/>
      <c r="Z29" s="132"/>
      <c r="AA29" s="132"/>
      <c r="AB29" s="98"/>
      <c r="AC29" s="98"/>
      <c r="AD29" s="98"/>
      <c r="AE29" s="98"/>
      <c r="AF29" s="98"/>
      <c r="AG29" s="98"/>
      <c r="AH29" s="98"/>
      <c r="AI29" s="98"/>
    </row>
    <row r="30" ht="22.5" customHeight="1">
      <c r="A30" s="98"/>
      <c r="B30" s="123">
        <v>3.0</v>
      </c>
      <c r="C30" s="124" t="s">
        <v>167</v>
      </c>
      <c r="D30" s="123"/>
      <c r="E30" s="66">
        <v>2.0</v>
      </c>
      <c r="F30" s="67"/>
      <c r="G30" s="67"/>
      <c r="H30" s="127" t="str">
        <f t="shared" si="1"/>
        <v/>
      </c>
      <c r="I30" s="127" t="str">
        <f t="shared" si="2"/>
        <v/>
      </c>
      <c r="J30" s="66"/>
      <c r="K30" s="66"/>
      <c r="L30" s="98"/>
      <c r="M30" s="123"/>
      <c r="N30" s="129"/>
      <c r="O30" s="124"/>
      <c r="P30" s="137"/>
      <c r="Q30" s="98"/>
      <c r="R30" s="139">
        <v>3.0</v>
      </c>
      <c r="S30" s="67" t="str">
        <f t="shared" si="3"/>
        <v>Bahasa Indonesia</v>
      </c>
      <c r="T30" s="132"/>
      <c r="U30" s="132"/>
      <c r="V30" s="132"/>
      <c r="W30" s="132"/>
      <c r="X30" s="132"/>
      <c r="Y30" s="132"/>
      <c r="Z30" s="132"/>
      <c r="AA30" s="132"/>
      <c r="AB30" s="98"/>
      <c r="AC30" s="98"/>
      <c r="AD30" s="98"/>
      <c r="AE30" s="98"/>
      <c r="AF30" s="98"/>
      <c r="AG30" s="98"/>
      <c r="AH30" s="98"/>
      <c r="AI30" s="98"/>
    </row>
    <row r="31" ht="22.5" customHeight="1">
      <c r="A31" s="104"/>
      <c r="B31" s="123">
        <v>4.0</v>
      </c>
      <c r="C31" s="124" t="s">
        <v>168</v>
      </c>
      <c r="D31" s="123"/>
      <c r="E31" s="66">
        <v>3.0</v>
      </c>
      <c r="F31" s="67"/>
      <c r="G31" s="67"/>
      <c r="H31" s="127" t="str">
        <f t="shared" si="1"/>
        <v/>
      </c>
      <c r="I31" s="127" t="str">
        <f t="shared" si="2"/>
        <v/>
      </c>
      <c r="J31" s="66"/>
      <c r="K31" s="66"/>
      <c r="L31" s="104"/>
      <c r="M31" s="123"/>
      <c r="N31" s="129"/>
      <c r="O31" s="124"/>
      <c r="P31" s="137"/>
      <c r="Q31" s="104"/>
      <c r="R31" s="139">
        <v>4.0</v>
      </c>
      <c r="S31" s="67" t="str">
        <f t="shared" si="3"/>
        <v>Penambangan Data</v>
      </c>
      <c r="T31" s="132"/>
      <c r="U31" s="132"/>
      <c r="V31" s="132"/>
      <c r="W31" s="132"/>
      <c r="X31" s="132"/>
      <c r="Y31" s="132"/>
      <c r="Z31" s="132"/>
      <c r="AA31" s="132"/>
      <c r="AB31" s="104"/>
      <c r="AC31" s="104"/>
      <c r="AD31" s="104"/>
      <c r="AE31" s="104"/>
      <c r="AF31" s="104"/>
      <c r="AG31" s="104"/>
      <c r="AH31" s="104"/>
      <c r="AI31" s="104"/>
    </row>
    <row r="32" ht="22.5" customHeight="1">
      <c r="A32" s="104"/>
      <c r="B32" s="123">
        <v>4.0</v>
      </c>
      <c r="C32" s="124" t="s">
        <v>169</v>
      </c>
      <c r="D32" s="123"/>
      <c r="E32" s="66">
        <v>3.0</v>
      </c>
      <c r="F32" s="67"/>
      <c r="G32" s="67"/>
      <c r="H32" s="127" t="str">
        <f t="shared" si="1"/>
        <v/>
      </c>
      <c r="I32" s="127" t="str">
        <f t="shared" si="2"/>
        <v/>
      </c>
      <c r="J32" s="66"/>
      <c r="K32" s="66"/>
      <c r="L32" s="104"/>
      <c r="M32" s="123"/>
      <c r="N32" s="129"/>
      <c r="O32" s="124"/>
      <c r="P32" s="137"/>
      <c r="Q32" s="104"/>
      <c r="R32" s="139">
        <v>4.0</v>
      </c>
      <c r="S32" s="67" t="str">
        <f t="shared" si="3"/>
        <v>Data Warehouse dan Komputasi Terdistribusi</v>
      </c>
      <c r="T32" s="132"/>
      <c r="U32" s="132"/>
      <c r="V32" s="132"/>
      <c r="W32" s="132"/>
      <c r="X32" s="132"/>
      <c r="Y32" s="132"/>
      <c r="Z32" s="132"/>
      <c r="AA32" s="132"/>
      <c r="AB32" s="104"/>
      <c r="AC32" s="104"/>
      <c r="AD32" s="104"/>
      <c r="AE32" s="104"/>
      <c r="AF32" s="104"/>
      <c r="AG32" s="104"/>
      <c r="AH32" s="104"/>
      <c r="AI32" s="104"/>
    </row>
    <row r="33" ht="22.5" customHeight="1">
      <c r="A33" s="104"/>
      <c r="B33" s="123">
        <v>4.0</v>
      </c>
      <c r="C33" s="124" t="s">
        <v>170</v>
      </c>
      <c r="D33" s="123"/>
      <c r="E33" s="66">
        <v>3.0</v>
      </c>
      <c r="F33" s="67"/>
      <c r="G33" s="67"/>
      <c r="H33" s="127" t="str">
        <f t="shared" si="1"/>
        <v/>
      </c>
      <c r="I33" s="127" t="str">
        <f t="shared" si="2"/>
        <v/>
      </c>
      <c r="J33" s="66"/>
      <c r="K33" s="66"/>
      <c r="L33" s="104"/>
      <c r="M33" s="123"/>
      <c r="N33" s="129"/>
      <c r="O33" s="124"/>
      <c r="P33" s="137"/>
      <c r="Q33" s="104"/>
      <c r="R33" s="139">
        <v>4.0</v>
      </c>
      <c r="S33" s="67" t="str">
        <f t="shared" si="3"/>
        <v>Pengolahan Citra Digital</v>
      </c>
      <c r="T33" s="132"/>
      <c r="U33" s="132"/>
      <c r="V33" s="132"/>
      <c r="W33" s="132"/>
      <c r="X33" s="132"/>
      <c r="Y33" s="132"/>
      <c r="Z33" s="132"/>
      <c r="AA33" s="132"/>
      <c r="AB33" s="104"/>
      <c r="AC33" s="104"/>
      <c r="AD33" s="104"/>
      <c r="AE33" s="104"/>
      <c r="AF33" s="104"/>
      <c r="AG33" s="104"/>
      <c r="AH33" s="104"/>
      <c r="AI33" s="104"/>
    </row>
    <row r="34" ht="22.5" customHeight="1">
      <c r="A34" s="104"/>
      <c r="B34" s="123">
        <v>4.0</v>
      </c>
      <c r="C34" s="124" t="s">
        <v>171</v>
      </c>
      <c r="D34" s="123"/>
      <c r="E34" s="66">
        <v>3.0</v>
      </c>
      <c r="F34" s="67"/>
      <c r="G34" s="67"/>
      <c r="H34" s="127" t="str">
        <f t="shared" si="1"/>
        <v/>
      </c>
      <c r="I34" s="127" t="str">
        <f t="shared" si="2"/>
        <v/>
      </c>
      <c r="J34" s="66"/>
      <c r="K34" s="66"/>
      <c r="L34" s="104"/>
      <c r="M34" s="123"/>
      <c r="N34" s="129"/>
      <c r="O34" s="124"/>
      <c r="P34" s="137"/>
      <c r="Q34" s="104"/>
      <c r="R34" s="139">
        <v>4.0</v>
      </c>
      <c r="S34" s="67" t="str">
        <f t="shared" si="3"/>
        <v>Analisis Multivariat</v>
      </c>
      <c r="T34" s="132"/>
      <c r="U34" s="132"/>
      <c r="V34" s="132"/>
      <c r="W34" s="132"/>
      <c r="X34" s="132"/>
      <c r="Y34" s="132"/>
      <c r="Z34" s="132"/>
      <c r="AA34" s="132"/>
      <c r="AB34" s="104"/>
      <c r="AC34" s="104"/>
      <c r="AD34" s="104"/>
      <c r="AE34" s="104"/>
      <c r="AF34" s="104"/>
      <c r="AG34" s="104"/>
      <c r="AH34" s="104"/>
      <c r="AI34" s="104"/>
    </row>
    <row r="35" ht="22.5" customHeight="1">
      <c r="A35" s="104"/>
      <c r="B35" s="123">
        <v>4.0</v>
      </c>
      <c r="C35" s="124" t="s">
        <v>172</v>
      </c>
      <c r="D35" s="123"/>
      <c r="E35" s="66">
        <v>3.0</v>
      </c>
      <c r="F35" s="67"/>
      <c r="G35" s="67"/>
      <c r="H35" s="127" t="str">
        <f t="shared" si="1"/>
        <v/>
      </c>
      <c r="I35" s="127" t="str">
        <f t="shared" si="2"/>
        <v/>
      </c>
      <c r="J35" s="66"/>
      <c r="K35" s="66"/>
      <c r="L35" s="104"/>
      <c r="M35" s="123"/>
      <c r="N35" s="129"/>
      <c r="O35" s="124"/>
      <c r="P35" s="137"/>
      <c r="Q35" s="104"/>
      <c r="R35" s="139">
        <v>4.0</v>
      </c>
      <c r="S35" s="67" t="str">
        <f t="shared" si="3"/>
        <v>Pembelajaran Mesin Dasar</v>
      </c>
      <c r="T35" s="132"/>
      <c r="U35" s="132"/>
      <c r="V35" s="132"/>
      <c r="W35" s="132"/>
      <c r="X35" s="132"/>
      <c r="Y35" s="132"/>
      <c r="Z35" s="132"/>
      <c r="AA35" s="132"/>
      <c r="AB35" s="104"/>
      <c r="AC35" s="104"/>
      <c r="AD35" s="104"/>
      <c r="AE35" s="104"/>
      <c r="AF35" s="104"/>
      <c r="AG35" s="104"/>
      <c r="AH35" s="104"/>
      <c r="AI35" s="104"/>
    </row>
    <row r="36" ht="22.5" customHeight="1">
      <c r="A36" s="104"/>
      <c r="B36" s="123">
        <v>4.0</v>
      </c>
      <c r="C36" s="124" t="s">
        <v>173</v>
      </c>
      <c r="D36" s="123"/>
      <c r="E36" s="66">
        <v>3.0</v>
      </c>
      <c r="F36" s="67"/>
      <c r="G36" s="67"/>
      <c r="H36" s="127" t="str">
        <f t="shared" si="1"/>
        <v/>
      </c>
      <c r="I36" s="127" t="str">
        <f t="shared" si="2"/>
        <v/>
      </c>
      <c r="J36" s="66"/>
      <c r="K36" s="66"/>
      <c r="L36" s="104"/>
      <c r="M36" s="123"/>
      <c r="N36" s="129"/>
      <c r="O36" s="124"/>
      <c r="P36" s="137"/>
      <c r="Q36" s="104"/>
      <c r="R36" s="139">
        <v>4.0</v>
      </c>
      <c r="S36" s="67" t="str">
        <f t="shared" si="3"/>
        <v>Rekayasa Perangkat Lunak</v>
      </c>
      <c r="T36" s="132"/>
      <c r="U36" s="132"/>
      <c r="V36" s="132"/>
      <c r="W36" s="132"/>
      <c r="X36" s="132"/>
      <c r="Y36" s="132"/>
      <c r="Z36" s="132"/>
      <c r="AA36" s="132"/>
      <c r="AB36" s="104"/>
      <c r="AC36" s="104"/>
      <c r="AD36" s="104"/>
      <c r="AE36" s="104"/>
      <c r="AF36" s="104"/>
      <c r="AG36" s="104"/>
      <c r="AH36" s="104"/>
      <c r="AI36" s="104"/>
    </row>
    <row r="37" ht="22.5" customHeight="1">
      <c r="A37" s="104"/>
      <c r="B37" s="123">
        <v>4.0</v>
      </c>
      <c r="C37" s="124" t="s">
        <v>174</v>
      </c>
      <c r="D37" s="123"/>
      <c r="E37" s="66">
        <v>2.0</v>
      </c>
      <c r="F37" s="67"/>
      <c r="G37" s="67"/>
      <c r="H37" s="127" t="str">
        <f t="shared" si="1"/>
        <v/>
      </c>
      <c r="I37" s="127" t="str">
        <f t="shared" si="2"/>
        <v/>
      </c>
      <c r="J37" s="66"/>
      <c r="K37" s="66"/>
      <c r="L37" s="104"/>
      <c r="M37" s="123"/>
      <c r="N37" s="129"/>
      <c r="O37" s="124"/>
      <c r="P37" s="137"/>
      <c r="Q37" s="104"/>
      <c r="R37" s="139">
        <v>4.0</v>
      </c>
      <c r="S37" s="67" t="str">
        <f t="shared" si="3"/>
        <v>Pendidikan Jasmani dan Kebugaran</v>
      </c>
      <c r="T37" s="132"/>
      <c r="U37" s="132"/>
      <c r="V37" s="132"/>
      <c r="W37" s="132"/>
      <c r="X37" s="132"/>
      <c r="Y37" s="132"/>
      <c r="Z37" s="132"/>
      <c r="AA37" s="132"/>
      <c r="AB37" s="104"/>
      <c r="AC37" s="104"/>
      <c r="AD37" s="104"/>
      <c r="AE37" s="104"/>
      <c r="AF37" s="104"/>
      <c r="AG37" s="104"/>
      <c r="AH37" s="104"/>
      <c r="AI37" s="104"/>
    </row>
    <row r="38" ht="22.5" customHeight="1">
      <c r="A38" s="104"/>
      <c r="B38" s="123">
        <v>5.0</v>
      </c>
      <c r="C38" s="124" t="s">
        <v>175</v>
      </c>
      <c r="D38" s="123"/>
      <c r="E38" s="66">
        <v>2.0</v>
      </c>
      <c r="F38" s="67"/>
      <c r="G38" s="67"/>
      <c r="H38" s="127" t="str">
        <f t="shared" si="1"/>
        <v/>
      </c>
      <c r="I38" s="127" t="str">
        <f t="shared" si="2"/>
        <v/>
      </c>
      <c r="J38" s="66"/>
      <c r="K38" s="66"/>
      <c r="L38" s="104"/>
      <c r="M38" s="123"/>
      <c r="N38" s="129"/>
      <c r="O38" s="124"/>
      <c r="P38" s="137"/>
      <c r="Q38" s="104"/>
      <c r="R38" s="139">
        <v>5.0</v>
      </c>
      <c r="S38" s="67" t="str">
        <f t="shared" si="3"/>
        <v>Tata Tulis Ilmiah</v>
      </c>
      <c r="T38" s="132"/>
      <c r="U38" s="132"/>
      <c r="V38" s="132"/>
      <c r="W38" s="132"/>
      <c r="X38" s="132"/>
      <c r="Y38" s="132"/>
      <c r="Z38" s="132"/>
      <c r="AA38" s="132"/>
      <c r="AB38" s="104"/>
      <c r="AC38" s="104"/>
      <c r="AD38" s="104"/>
      <c r="AE38" s="104"/>
      <c r="AF38" s="104"/>
      <c r="AG38" s="104"/>
      <c r="AH38" s="104"/>
      <c r="AI38" s="104"/>
    </row>
    <row r="39" ht="22.5" customHeight="1">
      <c r="A39" s="104"/>
      <c r="B39" s="123">
        <v>5.0</v>
      </c>
      <c r="C39" s="124" t="s">
        <v>176</v>
      </c>
      <c r="D39" s="123"/>
      <c r="E39" s="66">
        <v>2.0</v>
      </c>
      <c r="F39" s="67"/>
      <c r="G39" s="67"/>
      <c r="H39" s="127" t="str">
        <f t="shared" si="1"/>
        <v/>
      </c>
      <c r="I39" s="127" t="str">
        <f t="shared" si="2"/>
        <v/>
      </c>
      <c r="J39" s="66"/>
      <c r="K39" s="66"/>
      <c r="L39" s="104"/>
      <c r="M39" s="123"/>
      <c r="N39" s="129"/>
      <c r="O39" s="124"/>
      <c r="P39" s="137"/>
      <c r="Q39" s="104"/>
      <c r="R39" s="139">
        <v>5.0</v>
      </c>
      <c r="S39" s="67" t="str">
        <f t="shared" si="3"/>
        <v>Komunikasi Publik</v>
      </c>
      <c r="T39" s="132"/>
      <c r="U39" s="132"/>
      <c r="V39" s="132"/>
      <c r="W39" s="132"/>
      <c r="X39" s="132"/>
      <c r="Y39" s="132"/>
      <c r="Z39" s="132"/>
      <c r="AA39" s="132"/>
      <c r="AB39" s="104"/>
      <c r="AC39" s="104"/>
      <c r="AD39" s="104"/>
      <c r="AE39" s="104"/>
      <c r="AF39" s="104"/>
      <c r="AG39" s="104"/>
      <c r="AH39" s="104"/>
      <c r="AI39" s="104"/>
    </row>
    <row r="40" ht="22.5" customHeight="1">
      <c r="A40" s="104"/>
      <c r="B40" s="123">
        <v>5.0</v>
      </c>
      <c r="C40" s="124" t="s">
        <v>177</v>
      </c>
      <c r="D40" s="123"/>
      <c r="E40" s="66">
        <v>2.0</v>
      </c>
      <c r="F40" s="67"/>
      <c r="G40" s="67"/>
      <c r="H40" s="127" t="str">
        <f t="shared" si="1"/>
        <v/>
      </c>
      <c r="I40" s="127" t="str">
        <f t="shared" si="2"/>
        <v/>
      </c>
      <c r="J40" s="66"/>
      <c r="K40" s="66"/>
      <c r="L40" s="104"/>
      <c r="M40" s="123"/>
      <c r="N40" s="129"/>
      <c r="O40" s="124"/>
      <c r="P40" s="137"/>
      <c r="Q40" s="104"/>
      <c r="R40" s="139">
        <v>5.0</v>
      </c>
      <c r="S40" s="67" t="str">
        <f t="shared" si="3"/>
        <v>Kewirausahaan</v>
      </c>
      <c r="T40" s="132"/>
      <c r="U40" s="132"/>
      <c r="V40" s="132"/>
      <c r="W40" s="132"/>
      <c r="X40" s="132"/>
      <c r="Y40" s="132"/>
      <c r="Z40" s="132"/>
      <c r="AA40" s="132"/>
      <c r="AB40" s="104"/>
      <c r="AC40" s="104"/>
      <c r="AD40" s="104"/>
      <c r="AE40" s="104"/>
      <c r="AF40" s="104"/>
      <c r="AG40" s="104"/>
      <c r="AH40" s="104"/>
      <c r="AI40" s="104"/>
    </row>
    <row r="41" ht="22.5" customHeight="1">
      <c r="A41" s="105"/>
      <c r="B41" s="123">
        <v>5.0</v>
      </c>
      <c r="C41" s="124" t="s">
        <v>178</v>
      </c>
      <c r="D41" s="123"/>
      <c r="E41" s="66">
        <v>3.0</v>
      </c>
      <c r="F41" s="67"/>
      <c r="G41" s="67"/>
      <c r="H41" s="127" t="str">
        <f t="shared" si="1"/>
        <v/>
      </c>
      <c r="I41" s="127" t="str">
        <f t="shared" si="2"/>
        <v/>
      </c>
      <c r="J41" s="66"/>
      <c r="K41" s="66"/>
      <c r="L41" s="105"/>
      <c r="M41" s="123"/>
      <c r="N41" s="129"/>
      <c r="O41" s="124"/>
      <c r="P41" s="137"/>
      <c r="Q41" s="105"/>
      <c r="R41" s="139">
        <v>5.0</v>
      </c>
      <c r="S41" s="67" t="str">
        <f t="shared" si="3"/>
        <v>Pilihan 3</v>
      </c>
      <c r="T41" s="132"/>
      <c r="U41" s="132"/>
      <c r="V41" s="132"/>
      <c r="W41" s="132"/>
      <c r="X41" s="132"/>
      <c r="Y41" s="132"/>
      <c r="Z41" s="132"/>
      <c r="AA41" s="132"/>
      <c r="AB41" s="105"/>
      <c r="AC41" s="105"/>
      <c r="AD41" s="105"/>
      <c r="AE41" s="105"/>
      <c r="AF41" s="105"/>
      <c r="AG41" s="105"/>
      <c r="AH41" s="105"/>
      <c r="AI41" s="105"/>
    </row>
    <row r="42" ht="22.5" customHeight="1">
      <c r="A42" s="105"/>
      <c r="B42" s="123">
        <v>5.0</v>
      </c>
      <c r="C42" s="124" t="s">
        <v>179</v>
      </c>
      <c r="D42" s="123"/>
      <c r="E42" s="66">
        <v>3.0</v>
      </c>
      <c r="F42" s="67"/>
      <c r="G42" s="67"/>
      <c r="H42" s="127" t="str">
        <f t="shared" si="1"/>
        <v/>
      </c>
      <c r="I42" s="127" t="str">
        <f t="shared" si="2"/>
        <v/>
      </c>
      <c r="J42" s="66"/>
      <c r="K42" s="66"/>
      <c r="L42" s="105"/>
      <c r="M42" s="123"/>
      <c r="N42" s="129"/>
      <c r="O42" s="124"/>
      <c r="P42" s="137"/>
      <c r="Q42" s="105"/>
      <c r="R42" s="139">
        <v>5.0</v>
      </c>
      <c r="S42" s="67" t="str">
        <f t="shared" si="3"/>
        <v>Pilihan 4</v>
      </c>
      <c r="T42" s="132"/>
      <c r="U42" s="132"/>
      <c r="V42" s="132"/>
      <c r="W42" s="132"/>
      <c r="X42" s="132"/>
      <c r="Y42" s="132"/>
      <c r="Z42" s="132"/>
      <c r="AA42" s="132"/>
      <c r="AB42" s="105"/>
      <c r="AC42" s="105"/>
      <c r="AD42" s="105"/>
      <c r="AE42" s="105"/>
      <c r="AF42" s="105"/>
      <c r="AG42" s="105"/>
      <c r="AH42" s="105"/>
      <c r="AI42" s="105"/>
    </row>
    <row r="43" ht="22.5" customHeight="1">
      <c r="A43" s="105"/>
      <c r="B43" s="123">
        <v>5.0</v>
      </c>
      <c r="C43" s="124" t="s">
        <v>180</v>
      </c>
      <c r="D43" s="123"/>
      <c r="E43" s="66">
        <v>3.0</v>
      </c>
      <c r="F43" s="67"/>
      <c r="G43" s="67"/>
      <c r="H43" s="127" t="str">
        <f t="shared" si="1"/>
        <v/>
      </c>
      <c r="I43" s="127" t="str">
        <f t="shared" si="2"/>
        <v/>
      </c>
      <c r="J43" s="66"/>
      <c r="K43" s="66"/>
      <c r="L43" s="105"/>
      <c r="M43" s="123"/>
      <c r="N43" s="129"/>
      <c r="O43" s="124"/>
      <c r="P43" s="137"/>
      <c r="Q43" s="105"/>
      <c r="R43" s="139">
        <v>5.0</v>
      </c>
      <c r="S43" s="67" t="str">
        <f t="shared" si="3"/>
        <v>Pilihan 5</v>
      </c>
      <c r="T43" s="132"/>
      <c r="U43" s="132"/>
      <c r="V43" s="132"/>
      <c r="W43" s="132"/>
      <c r="X43" s="132"/>
      <c r="Y43" s="132"/>
      <c r="Z43" s="132"/>
      <c r="AA43" s="132"/>
      <c r="AB43" s="105"/>
      <c r="AC43" s="105"/>
      <c r="AD43" s="105"/>
      <c r="AE43" s="105"/>
      <c r="AF43" s="105"/>
      <c r="AG43" s="105"/>
      <c r="AH43" s="105"/>
      <c r="AI43" s="105"/>
    </row>
    <row r="44" ht="22.5" customHeight="1">
      <c r="A44" s="105"/>
      <c r="B44" s="123">
        <v>5.0</v>
      </c>
      <c r="C44" s="124" t="s">
        <v>181</v>
      </c>
      <c r="D44" s="123"/>
      <c r="E44" s="66">
        <v>3.0</v>
      </c>
      <c r="F44" s="67"/>
      <c r="G44" s="67"/>
      <c r="H44" s="127" t="str">
        <f t="shared" si="1"/>
        <v/>
      </c>
      <c r="I44" s="127" t="str">
        <f t="shared" si="2"/>
        <v/>
      </c>
      <c r="J44" s="66"/>
      <c r="K44" s="66"/>
      <c r="L44" s="105"/>
      <c r="M44" s="123"/>
      <c r="N44" s="129"/>
      <c r="O44" s="124"/>
      <c r="P44" s="137"/>
      <c r="Q44" s="105"/>
      <c r="R44" s="139">
        <v>5.0</v>
      </c>
      <c r="S44" s="67" t="str">
        <f t="shared" si="3"/>
        <v>Pilihan 6</v>
      </c>
      <c r="T44" s="132"/>
      <c r="U44" s="132"/>
      <c r="V44" s="132"/>
      <c r="W44" s="132"/>
      <c r="X44" s="132"/>
      <c r="Y44" s="132"/>
      <c r="Z44" s="132"/>
      <c r="AA44" s="132"/>
      <c r="AB44" s="105"/>
      <c r="AC44" s="105"/>
      <c r="AD44" s="105"/>
      <c r="AE44" s="105"/>
      <c r="AF44" s="105"/>
      <c r="AG44" s="105"/>
      <c r="AH44" s="105"/>
      <c r="AI44" s="105"/>
    </row>
    <row r="45" ht="22.5" customHeight="1">
      <c r="A45" s="105"/>
      <c r="B45" s="123">
        <v>5.0</v>
      </c>
      <c r="C45" s="124" t="s">
        <v>182</v>
      </c>
      <c r="D45" s="123"/>
      <c r="E45" s="66">
        <v>2.0</v>
      </c>
      <c r="F45" s="67"/>
      <c r="G45" s="67"/>
      <c r="H45" s="127" t="str">
        <f t="shared" si="1"/>
        <v/>
      </c>
      <c r="I45" s="127" t="str">
        <f t="shared" si="2"/>
        <v/>
      </c>
      <c r="J45" s="66"/>
      <c r="K45" s="66"/>
      <c r="L45" s="105"/>
      <c r="M45" s="123"/>
      <c r="N45" s="129"/>
      <c r="O45" s="124"/>
      <c r="P45" s="137"/>
      <c r="Q45" s="105"/>
      <c r="R45" s="139">
        <v>5.0</v>
      </c>
      <c r="S45" s="67" t="str">
        <f t="shared" si="3"/>
        <v>Creative Thinking</v>
      </c>
      <c r="T45" s="132"/>
      <c r="U45" s="132"/>
      <c r="V45" s="132"/>
      <c r="W45" s="132"/>
      <c r="X45" s="132"/>
      <c r="Y45" s="132"/>
      <c r="Z45" s="132"/>
      <c r="AA45" s="132"/>
      <c r="AB45" s="105"/>
      <c r="AC45" s="105"/>
      <c r="AD45" s="105"/>
      <c r="AE45" s="105"/>
      <c r="AF45" s="105"/>
      <c r="AG45" s="105"/>
      <c r="AH45" s="105"/>
      <c r="AI45" s="105"/>
    </row>
    <row r="46" ht="22.5" customHeight="1">
      <c r="A46" s="105"/>
      <c r="B46" s="123">
        <v>5.0</v>
      </c>
      <c r="C46" s="124" t="s">
        <v>183</v>
      </c>
      <c r="D46" s="123"/>
      <c r="E46" s="66">
        <v>2.0</v>
      </c>
      <c r="F46" s="67"/>
      <c r="G46" s="67"/>
      <c r="H46" s="127" t="str">
        <f t="shared" si="1"/>
        <v/>
      </c>
      <c r="I46" s="127" t="str">
        <f t="shared" si="2"/>
        <v/>
      </c>
      <c r="J46" s="66"/>
      <c r="K46" s="66"/>
      <c r="L46" s="105"/>
      <c r="M46" s="123"/>
      <c r="N46" s="129"/>
      <c r="O46" s="124"/>
      <c r="P46" s="137"/>
      <c r="Q46" s="105"/>
      <c r="R46" s="139">
        <v>5.0</v>
      </c>
      <c r="S46" s="67" t="str">
        <f t="shared" si="3"/>
        <v>Bahasa Inggris</v>
      </c>
      <c r="T46" s="132"/>
      <c r="U46" s="132"/>
      <c r="V46" s="132"/>
      <c r="W46" s="132"/>
      <c r="X46" s="132"/>
      <c r="Y46" s="132"/>
      <c r="Z46" s="132"/>
      <c r="AA46" s="132"/>
      <c r="AB46" s="105"/>
      <c r="AC46" s="105"/>
      <c r="AD46" s="105"/>
      <c r="AE46" s="105"/>
      <c r="AF46" s="105"/>
      <c r="AG46" s="105"/>
      <c r="AH46" s="105"/>
      <c r="AI46" s="105"/>
    </row>
    <row r="47" ht="22.5" customHeight="1">
      <c r="A47" s="105"/>
      <c r="B47" s="123">
        <v>6.0</v>
      </c>
      <c r="C47" s="124" t="s">
        <v>184</v>
      </c>
      <c r="D47" s="123"/>
      <c r="E47" s="66">
        <v>3.0</v>
      </c>
      <c r="F47" s="67"/>
      <c r="G47" s="67"/>
      <c r="H47" s="127" t="str">
        <f t="shared" si="1"/>
        <v/>
      </c>
      <c r="I47" s="127" t="str">
        <f t="shared" si="2"/>
        <v/>
      </c>
      <c r="J47" s="66"/>
      <c r="K47" s="66"/>
      <c r="L47" s="105"/>
      <c r="M47" s="123"/>
      <c r="N47" s="129"/>
      <c r="O47" s="124"/>
      <c r="P47" s="137"/>
      <c r="Q47" s="105"/>
      <c r="R47" s="139">
        <v>6.0</v>
      </c>
      <c r="S47" s="67" t="str">
        <f t="shared" si="3"/>
        <v>Manajemen Risiko</v>
      </c>
      <c r="T47" s="132"/>
      <c r="U47" s="132"/>
      <c r="V47" s="132"/>
      <c r="W47" s="132"/>
      <c r="X47" s="132"/>
      <c r="Y47" s="132"/>
      <c r="Z47" s="132"/>
      <c r="AA47" s="132"/>
      <c r="AB47" s="105"/>
      <c r="AC47" s="105"/>
      <c r="AD47" s="105"/>
      <c r="AE47" s="105"/>
      <c r="AF47" s="105"/>
      <c r="AG47" s="105"/>
      <c r="AH47" s="105"/>
      <c r="AI47" s="105"/>
    </row>
    <row r="48" ht="22.5" customHeight="1">
      <c r="A48" s="105"/>
      <c r="B48" s="123">
        <v>6.0</v>
      </c>
      <c r="C48" s="124" t="s">
        <v>185</v>
      </c>
      <c r="D48" s="123"/>
      <c r="E48" s="66">
        <v>3.0</v>
      </c>
      <c r="F48" s="67"/>
      <c r="G48" s="67"/>
      <c r="H48" s="127" t="str">
        <f t="shared" si="1"/>
        <v/>
      </c>
      <c r="I48" s="127" t="str">
        <f t="shared" si="2"/>
        <v/>
      </c>
      <c r="J48" s="66"/>
      <c r="K48" s="66"/>
      <c r="L48" s="105"/>
      <c r="M48" s="123"/>
      <c r="N48" s="129"/>
      <c r="O48" s="124"/>
      <c r="P48" s="137"/>
      <c r="Q48" s="105"/>
      <c r="R48" s="139">
        <v>6.0</v>
      </c>
      <c r="S48" s="67" t="str">
        <f t="shared" si="3"/>
        <v>Pilihan 7</v>
      </c>
      <c r="T48" s="132"/>
      <c r="U48" s="132"/>
      <c r="V48" s="132"/>
      <c r="W48" s="132"/>
      <c r="X48" s="132"/>
      <c r="Y48" s="132"/>
      <c r="Z48" s="132"/>
      <c r="AA48" s="132"/>
      <c r="AB48" s="105"/>
      <c r="AC48" s="105"/>
      <c r="AD48" s="105"/>
      <c r="AE48" s="105"/>
      <c r="AF48" s="105"/>
      <c r="AG48" s="105"/>
      <c r="AH48" s="105"/>
      <c r="AI48" s="105"/>
    </row>
    <row r="49" ht="22.5" customHeight="1">
      <c r="A49" s="105"/>
      <c r="B49" s="123">
        <v>6.0</v>
      </c>
      <c r="C49" s="124" t="s">
        <v>186</v>
      </c>
      <c r="D49" s="123"/>
      <c r="E49" s="66">
        <v>2.0</v>
      </c>
      <c r="F49" s="67"/>
      <c r="G49" s="67"/>
      <c r="H49" s="127" t="str">
        <f t="shared" si="1"/>
        <v/>
      </c>
      <c r="I49" s="127" t="str">
        <f t="shared" si="2"/>
        <v/>
      </c>
      <c r="J49" s="66"/>
      <c r="K49" s="66"/>
      <c r="L49" s="105"/>
      <c r="M49" s="123"/>
      <c r="N49" s="129"/>
      <c r="O49" s="124"/>
      <c r="P49" s="137"/>
      <c r="Q49" s="105"/>
      <c r="R49" s="139">
        <v>6.0</v>
      </c>
      <c r="S49" s="67" t="str">
        <f t="shared" si="3"/>
        <v>Etika Profesi</v>
      </c>
      <c r="T49" s="132"/>
      <c r="U49" s="132"/>
      <c r="V49" s="132"/>
      <c r="W49" s="132"/>
      <c r="X49" s="132"/>
      <c r="Y49" s="132"/>
      <c r="Z49" s="132"/>
      <c r="AA49" s="132"/>
      <c r="AB49" s="105"/>
      <c r="AC49" s="105"/>
      <c r="AD49" s="105"/>
      <c r="AE49" s="105"/>
      <c r="AF49" s="105"/>
      <c r="AG49" s="105"/>
      <c r="AH49" s="105"/>
      <c r="AI49" s="105"/>
    </row>
    <row r="50" ht="22.5" customHeight="1">
      <c r="A50" s="105"/>
      <c r="B50" s="123">
        <v>6.0</v>
      </c>
      <c r="C50" s="124" t="s">
        <v>187</v>
      </c>
      <c r="D50" s="123"/>
      <c r="E50" s="66">
        <v>3.0</v>
      </c>
      <c r="F50" s="67"/>
      <c r="G50" s="67"/>
      <c r="H50" s="127" t="str">
        <f t="shared" si="1"/>
        <v/>
      </c>
      <c r="I50" s="127" t="str">
        <f t="shared" si="2"/>
        <v/>
      </c>
      <c r="J50" s="66"/>
      <c r="K50" s="66"/>
      <c r="L50" s="105"/>
      <c r="M50" s="123"/>
      <c r="N50" s="129"/>
      <c r="O50" s="124"/>
      <c r="P50" s="137"/>
      <c r="Q50" s="105"/>
      <c r="R50" s="139">
        <v>6.0</v>
      </c>
      <c r="S50" s="67" t="str">
        <f t="shared" si="3"/>
        <v>Kecerdasan Bisnis</v>
      </c>
      <c r="T50" s="132"/>
      <c r="U50" s="132"/>
      <c r="V50" s="132"/>
      <c r="W50" s="132"/>
      <c r="X50" s="132"/>
      <c r="Y50" s="132"/>
      <c r="Z50" s="132"/>
      <c r="AA50" s="132"/>
      <c r="AB50" s="105"/>
      <c r="AC50" s="105"/>
      <c r="AD50" s="105"/>
      <c r="AE50" s="105"/>
      <c r="AF50" s="105"/>
      <c r="AG50" s="105"/>
      <c r="AH50" s="105"/>
      <c r="AI50" s="105"/>
    </row>
    <row r="51" ht="22.5" customHeight="1">
      <c r="A51" s="110"/>
      <c r="B51" s="123">
        <v>6.0</v>
      </c>
      <c r="C51" s="124" t="s">
        <v>188</v>
      </c>
      <c r="D51" s="123"/>
      <c r="E51" s="66">
        <v>3.0</v>
      </c>
      <c r="F51" s="67"/>
      <c r="G51" s="67"/>
      <c r="H51" s="127" t="str">
        <f t="shared" si="1"/>
        <v/>
      </c>
      <c r="I51" s="127" t="str">
        <f t="shared" si="2"/>
        <v/>
      </c>
      <c r="J51" s="66"/>
      <c r="K51" s="66"/>
      <c r="L51" s="110"/>
      <c r="M51" s="123"/>
      <c r="N51" s="129"/>
      <c r="O51" s="124"/>
      <c r="P51" s="137"/>
      <c r="Q51" s="110"/>
      <c r="R51" s="139">
        <v>6.0</v>
      </c>
      <c r="S51" s="67" t="str">
        <f t="shared" si="3"/>
        <v>SIM</v>
      </c>
      <c r="T51" s="132"/>
      <c r="U51" s="132"/>
      <c r="V51" s="132"/>
      <c r="W51" s="132"/>
      <c r="X51" s="132"/>
      <c r="Y51" s="132"/>
      <c r="Z51" s="132"/>
      <c r="AA51" s="132"/>
      <c r="AB51" s="110"/>
      <c r="AC51" s="110"/>
      <c r="AD51" s="110"/>
      <c r="AE51" s="110"/>
      <c r="AF51" s="110"/>
      <c r="AG51" s="110"/>
      <c r="AH51" s="110"/>
      <c r="AI51" s="110"/>
    </row>
    <row r="52" ht="22.5" customHeight="1">
      <c r="A52" s="110"/>
      <c r="B52" s="123">
        <v>6.0</v>
      </c>
      <c r="C52" s="124" t="s">
        <v>189</v>
      </c>
      <c r="D52" s="123"/>
      <c r="E52" s="66">
        <v>3.0</v>
      </c>
      <c r="F52" s="67"/>
      <c r="G52" s="67"/>
      <c r="H52" s="127" t="str">
        <f t="shared" si="1"/>
        <v/>
      </c>
      <c r="I52" s="127" t="str">
        <f t="shared" si="2"/>
        <v/>
      </c>
      <c r="J52" s="66"/>
      <c r="K52" s="66"/>
      <c r="L52" s="110"/>
      <c r="M52" s="123"/>
      <c r="N52" s="129"/>
      <c r="O52" s="124"/>
      <c r="P52" s="137"/>
      <c r="Q52" s="110"/>
      <c r="R52" s="139">
        <v>6.0</v>
      </c>
      <c r="S52" s="67" t="str">
        <f t="shared" si="3"/>
        <v>Manajemen Proyek</v>
      </c>
      <c r="T52" s="132"/>
      <c r="U52" s="132"/>
      <c r="V52" s="132"/>
      <c r="W52" s="132"/>
      <c r="X52" s="132"/>
      <c r="Y52" s="132"/>
      <c r="Z52" s="132"/>
      <c r="AA52" s="132"/>
      <c r="AB52" s="110"/>
      <c r="AC52" s="110"/>
      <c r="AD52" s="110"/>
      <c r="AE52" s="110"/>
      <c r="AF52" s="110"/>
      <c r="AG52" s="110"/>
      <c r="AH52" s="110"/>
      <c r="AI52" s="110"/>
    </row>
    <row r="53" ht="22.5" customHeight="1">
      <c r="A53" s="110"/>
      <c r="B53" s="123">
        <v>6.0</v>
      </c>
      <c r="C53" s="124" t="s">
        <v>190</v>
      </c>
      <c r="D53" s="123"/>
      <c r="E53" s="66">
        <v>3.0</v>
      </c>
      <c r="F53" s="67"/>
      <c r="G53" s="67"/>
      <c r="H53" s="127" t="str">
        <f t="shared" si="1"/>
        <v/>
      </c>
      <c r="I53" s="127" t="str">
        <f t="shared" si="2"/>
        <v/>
      </c>
      <c r="J53" s="66"/>
      <c r="K53" s="66"/>
      <c r="L53" s="110"/>
      <c r="M53" s="123"/>
      <c r="N53" s="129"/>
      <c r="O53" s="124"/>
      <c r="P53" s="137"/>
      <c r="Q53" s="110"/>
      <c r="R53" s="139">
        <v>6.0</v>
      </c>
      <c r="S53" s="67" t="str">
        <f t="shared" si="3"/>
        <v>Pilihan 8</v>
      </c>
      <c r="T53" s="132"/>
      <c r="U53" s="132"/>
      <c r="V53" s="132"/>
      <c r="W53" s="132"/>
      <c r="X53" s="132"/>
      <c r="Y53" s="132"/>
      <c r="Z53" s="132"/>
      <c r="AA53" s="132"/>
      <c r="AB53" s="110"/>
      <c r="AC53" s="110"/>
      <c r="AD53" s="110"/>
      <c r="AE53" s="110"/>
      <c r="AF53" s="110"/>
      <c r="AG53" s="110"/>
      <c r="AH53" s="110"/>
      <c r="AI53" s="110"/>
    </row>
    <row r="54" ht="22.5" customHeight="1">
      <c r="A54" s="110"/>
      <c r="B54" s="123">
        <v>7.0</v>
      </c>
      <c r="C54" s="124" t="s">
        <v>191</v>
      </c>
      <c r="D54" s="123"/>
      <c r="E54" s="66">
        <v>3.0</v>
      </c>
      <c r="F54" s="67"/>
      <c r="G54" s="67"/>
      <c r="H54" s="127" t="str">
        <f t="shared" si="1"/>
        <v/>
      </c>
      <c r="I54" s="127" t="str">
        <f t="shared" si="2"/>
        <v/>
      </c>
      <c r="J54" s="66"/>
      <c r="K54" s="66"/>
      <c r="L54" s="110"/>
      <c r="M54" s="123"/>
      <c r="N54" s="129"/>
      <c r="O54" s="124"/>
      <c r="P54" s="137"/>
      <c r="Q54" s="110"/>
      <c r="R54" s="139">
        <v>6.0</v>
      </c>
      <c r="S54" s="67" t="str">
        <f t="shared" si="3"/>
        <v>Pembelajaran Mesin Lanjut</v>
      </c>
      <c r="T54" s="132"/>
      <c r="U54" s="132"/>
      <c r="V54" s="132"/>
      <c r="W54" s="132"/>
      <c r="X54" s="132"/>
      <c r="Y54" s="132"/>
      <c r="Z54" s="132"/>
      <c r="AA54" s="132"/>
      <c r="AB54" s="110"/>
      <c r="AC54" s="110"/>
      <c r="AD54" s="110"/>
      <c r="AE54" s="110"/>
      <c r="AF54" s="110"/>
      <c r="AG54" s="110"/>
      <c r="AH54" s="110"/>
      <c r="AI54" s="110"/>
    </row>
    <row r="55" ht="22.5" customHeight="1">
      <c r="A55" s="110"/>
      <c r="B55" s="123">
        <v>7.0</v>
      </c>
      <c r="C55" s="124" t="s">
        <v>192</v>
      </c>
      <c r="D55" s="123"/>
      <c r="E55" s="66">
        <v>3.0</v>
      </c>
      <c r="F55" s="67"/>
      <c r="G55" s="67"/>
      <c r="H55" s="127" t="str">
        <f t="shared" si="1"/>
        <v/>
      </c>
      <c r="I55" s="127" t="str">
        <f t="shared" si="2"/>
        <v/>
      </c>
      <c r="J55" s="66"/>
      <c r="K55" s="66"/>
      <c r="L55" s="110"/>
      <c r="M55" s="123"/>
      <c r="N55" s="129"/>
      <c r="O55" s="124"/>
      <c r="P55" s="137"/>
      <c r="Q55" s="110"/>
      <c r="R55" s="139">
        <v>7.0</v>
      </c>
      <c r="S55" s="67" t="str">
        <f t="shared" si="3"/>
        <v>Analisis Big Data</v>
      </c>
      <c r="T55" s="132"/>
      <c r="U55" s="132"/>
      <c r="V55" s="132"/>
      <c r="W55" s="132"/>
      <c r="X55" s="132"/>
      <c r="Y55" s="132"/>
      <c r="Z55" s="132"/>
      <c r="AA55" s="132"/>
      <c r="AB55" s="110"/>
      <c r="AC55" s="110"/>
      <c r="AD55" s="110"/>
      <c r="AE55" s="110"/>
      <c r="AF55" s="110"/>
      <c r="AG55" s="110"/>
      <c r="AH55" s="110"/>
      <c r="AI55" s="110"/>
    </row>
    <row r="56" ht="22.5" customHeight="1">
      <c r="A56" s="110"/>
      <c r="B56" s="123">
        <v>7.0</v>
      </c>
      <c r="C56" s="124" t="s">
        <v>193</v>
      </c>
      <c r="D56" s="123"/>
      <c r="E56" s="66">
        <v>3.0</v>
      </c>
      <c r="F56" s="67"/>
      <c r="G56" s="67"/>
      <c r="H56" s="127" t="str">
        <f t="shared" si="1"/>
        <v/>
      </c>
      <c r="I56" s="127" t="str">
        <f t="shared" si="2"/>
        <v/>
      </c>
      <c r="J56" s="66"/>
      <c r="K56" s="66"/>
      <c r="L56" s="110"/>
      <c r="M56" s="123"/>
      <c r="N56" s="129"/>
      <c r="O56" s="124"/>
      <c r="P56" s="137"/>
      <c r="Q56" s="110"/>
      <c r="R56" s="139">
        <v>7.0</v>
      </c>
      <c r="S56" s="67" t="str">
        <f t="shared" si="3"/>
        <v>Graf Sains Data</v>
      </c>
      <c r="T56" s="132"/>
      <c r="U56" s="132"/>
      <c r="V56" s="132"/>
      <c r="W56" s="132"/>
      <c r="X56" s="132"/>
      <c r="Y56" s="132"/>
      <c r="Z56" s="132"/>
      <c r="AA56" s="132"/>
      <c r="AB56" s="110"/>
      <c r="AC56" s="110"/>
      <c r="AD56" s="110"/>
      <c r="AE56" s="110"/>
      <c r="AF56" s="110"/>
      <c r="AG56" s="110"/>
      <c r="AH56" s="110"/>
      <c r="AI56" s="110"/>
    </row>
    <row r="57" ht="22.5" customHeight="1">
      <c r="A57" s="110"/>
      <c r="B57" s="123">
        <v>7.0</v>
      </c>
      <c r="C57" s="124" t="s">
        <v>194</v>
      </c>
      <c r="D57" s="123"/>
      <c r="E57" s="66">
        <v>3.0</v>
      </c>
      <c r="F57" s="67"/>
      <c r="G57" s="67"/>
      <c r="H57" s="127" t="str">
        <f t="shared" si="1"/>
        <v/>
      </c>
      <c r="I57" s="127" t="str">
        <f t="shared" si="2"/>
        <v/>
      </c>
      <c r="J57" s="66"/>
      <c r="K57" s="66"/>
      <c r="L57" s="110"/>
      <c r="M57" s="123"/>
      <c r="N57" s="129"/>
      <c r="O57" s="124"/>
      <c r="P57" s="137"/>
      <c r="Q57" s="110"/>
      <c r="R57" s="139">
        <v>7.0</v>
      </c>
      <c r="S57" s="67" t="str">
        <f t="shared" si="3"/>
        <v>Pilihan 1</v>
      </c>
      <c r="T57" s="132"/>
      <c r="U57" s="132"/>
      <c r="V57" s="132"/>
      <c r="W57" s="132"/>
      <c r="X57" s="132"/>
      <c r="Y57" s="132"/>
      <c r="Z57" s="132"/>
      <c r="AA57" s="132"/>
      <c r="AB57" s="110"/>
      <c r="AC57" s="110"/>
      <c r="AD57" s="110"/>
      <c r="AE57" s="110"/>
      <c r="AF57" s="110"/>
      <c r="AG57" s="110"/>
      <c r="AH57" s="110"/>
      <c r="AI57" s="110"/>
    </row>
    <row r="58" ht="22.5" customHeight="1">
      <c r="A58" s="110"/>
      <c r="B58" s="123">
        <v>7.0</v>
      </c>
      <c r="C58" s="124" t="s">
        <v>195</v>
      </c>
      <c r="D58" s="123"/>
      <c r="E58" s="66">
        <v>3.0</v>
      </c>
      <c r="F58" s="67"/>
      <c r="G58" s="67"/>
      <c r="H58" s="127" t="str">
        <f t="shared" si="1"/>
        <v/>
      </c>
      <c r="I58" s="127" t="str">
        <f t="shared" si="2"/>
        <v/>
      </c>
      <c r="J58" s="66"/>
      <c r="K58" s="66"/>
      <c r="L58" s="110"/>
      <c r="M58" s="123"/>
      <c r="N58" s="129"/>
      <c r="O58" s="124"/>
      <c r="P58" s="137"/>
      <c r="Q58" s="110"/>
      <c r="R58" s="139">
        <v>7.0</v>
      </c>
      <c r="S58" s="67" t="str">
        <f t="shared" si="3"/>
        <v>Pilihan 2</v>
      </c>
      <c r="T58" s="132"/>
      <c r="U58" s="132"/>
      <c r="V58" s="132"/>
      <c r="W58" s="132"/>
      <c r="X58" s="132"/>
      <c r="Y58" s="132"/>
      <c r="Z58" s="132"/>
      <c r="AA58" s="132"/>
      <c r="AB58" s="110"/>
      <c r="AC58" s="110"/>
      <c r="AD58" s="110"/>
      <c r="AE58" s="110"/>
      <c r="AF58" s="110"/>
      <c r="AG58" s="110"/>
      <c r="AH58" s="110"/>
      <c r="AI58" s="110"/>
    </row>
    <row r="59" ht="22.5" customHeight="1">
      <c r="A59" s="110"/>
      <c r="B59" s="123">
        <v>7.0</v>
      </c>
      <c r="C59" s="124" t="s">
        <v>196</v>
      </c>
      <c r="D59" s="123"/>
      <c r="E59" s="66">
        <v>2.0</v>
      </c>
      <c r="F59" s="67"/>
      <c r="G59" s="67"/>
      <c r="H59" s="127" t="str">
        <f t="shared" si="1"/>
        <v/>
      </c>
      <c r="I59" s="127" t="str">
        <f t="shared" si="2"/>
        <v/>
      </c>
      <c r="J59" s="66"/>
      <c r="K59" s="66"/>
      <c r="L59" s="110"/>
      <c r="M59" s="123"/>
      <c r="N59" s="129"/>
      <c r="O59" s="124"/>
      <c r="P59" s="137"/>
      <c r="Q59" s="110"/>
      <c r="R59" s="139">
        <v>7.0</v>
      </c>
      <c r="S59" s="67" t="str">
        <f t="shared" si="3"/>
        <v>Proposal Tugas Akhir</v>
      </c>
      <c r="T59" s="132"/>
      <c r="U59" s="132"/>
      <c r="V59" s="132"/>
      <c r="W59" s="132"/>
      <c r="X59" s="132"/>
      <c r="Y59" s="132"/>
      <c r="Z59" s="132"/>
      <c r="AA59" s="132"/>
      <c r="AB59" s="110"/>
      <c r="AC59" s="110"/>
      <c r="AD59" s="110"/>
      <c r="AE59" s="110"/>
      <c r="AF59" s="110"/>
      <c r="AG59" s="110"/>
      <c r="AH59" s="110"/>
      <c r="AI59" s="110"/>
    </row>
    <row r="60" ht="22.5" customHeight="1">
      <c r="A60" s="110"/>
      <c r="B60" s="123">
        <v>8.0</v>
      </c>
      <c r="C60" s="124" t="s">
        <v>197</v>
      </c>
      <c r="D60" s="123"/>
      <c r="E60" s="66">
        <v>4.0</v>
      </c>
      <c r="F60" s="67"/>
      <c r="G60" s="67"/>
      <c r="H60" s="127" t="str">
        <f t="shared" si="1"/>
        <v/>
      </c>
      <c r="I60" s="127" t="str">
        <f t="shared" si="2"/>
        <v/>
      </c>
      <c r="J60" s="66"/>
      <c r="K60" s="66"/>
      <c r="L60" s="110"/>
      <c r="M60" s="123"/>
      <c r="N60" s="129"/>
      <c r="O60" s="124"/>
      <c r="P60" s="137"/>
      <c r="Q60" s="110"/>
      <c r="R60" s="139">
        <v>8.0</v>
      </c>
      <c r="S60" s="67" t="str">
        <f t="shared" si="3"/>
        <v>Tugas Akhir</v>
      </c>
      <c r="T60" s="132"/>
      <c r="U60" s="132"/>
      <c r="V60" s="132"/>
      <c r="W60" s="132"/>
      <c r="X60" s="132"/>
      <c r="Y60" s="132"/>
      <c r="Z60" s="132"/>
      <c r="AA60" s="132"/>
      <c r="AB60" s="110"/>
      <c r="AC60" s="110"/>
      <c r="AD60" s="110"/>
      <c r="AE60" s="110"/>
      <c r="AF60" s="110"/>
      <c r="AG60" s="110"/>
      <c r="AH60" s="110"/>
      <c r="AI60" s="110"/>
    </row>
    <row r="61">
      <c r="A61" s="110"/>
      <c r="B61" s="110"/>
      <c r="C61" s="110"/>
      <c r="D61" s="110"/>
      <c r="E61" s="110"/>
      <c r="F61" s="110"/>
      <c r="G61" s="110"/>
      <c r="H61" s="110"/>
      <c r="I61" s="110"/>
      <c r="J61" s="110"/>
      <c r="K61" s="110"/>
      <c r="L61" s="110"/>
      <c r="M61" s="110"/>
      <c r="N61" s="110"/>
      <c r="O61" s="110"/>
      <c r="P61" s="110"/>
      <c r="Q61" s="110"/>
      <c r="R61" s="141"/>
      <c r="S61" s="110"/>
      <c r="T61" s="110"/>
      <c r="U61" s="110"/>
      <c r="V61" s="110"/>
      <c r="W61" s="110"/>
      <c r="X61" s="110"/>
      <c r="Y61" s="110"/>
      <c r="Z61" s="110"/>
      <c r="AA61" s="110"/>
      <c r="AB61" s="110"/>
      <c r="AC61" s="110"/>
      <c r="AD61" s="110"/>
      <c r="AE61" s="110"/>
      <c r="AF61" s="110"/>
      <c r="AG61" s="110"/>
      <c r="AH61" s="110"/>
      <c r="AI61" s="110"/>
    </row>
    <row r="62">
      <c r="A62" s="110"/>
      <c r="B62" s="110"/>
      <c r="C62" s="110"/>
      <c r="D62" s="110"/>
      <c r="E62" s="110"/>
      <c r="F62" s="110"/>
      <c r="G62" s="110"/>
      <c r="H62" s="110"/>
      <c r="I62" s="110"/>
      <c r="J62" s="110"/>
      <c r="K62" s="110"/>
      <c r="L62" s="110"/>
      <c r="M62" s="110"/>
      <c r="N62" s="110"/>
      <c r="O62" s="110"/>
      <c r="P62" s="110"/>
      <c r="Q62" s="110"/>
      <c r="R62" s="141"/>
      <c r="S62" s="110"/>
      <c r="T62" s="110"/>
      <c r="U62" s="110"/>
      <c r="V62" s="110"/>
      <c r="W62" s="110"/>
      <c r="X62" s="110"/>
      <c r="Y62" s="110"/>
      <c r="Z62" s="110"/>
      <c r="AA62" s="110"/>
      <c r="AB62" s="110"/>
      <c r="AC62" s="110"/>
      <c r="AD62" s="110"/>
      <c r="AE62" s="110"/>
      <c r="AF62" s="110"/>
      <c r="AG62" s="110"/>
      <c r="AH62" s="110"/>
      <c r="AI62" s="110"/>
    </row>
    <row r="63">
      <c r="A63" s="110"/>
      <c r="B63" s="110"/>
      <c r="C63" s="110"/>
      <c r="D63" s="110"/>
      <c r="E63" s="110"/>
      <c r="F63" s="110"/>
      <c r="G63" s="110"/>
      <c r="H63" s="110"/>
      <c r="I63" s="110"/>
      <c r="J63" s="110"/>
      <c r="K63" s="110"/>
      <c r="L63" s="110"/>
      <c r="M63" s="110"/>
      <c r="N63" s="110"/>
      <c r="O63" s="110"/>
      <c r="P63" s="110"/>
      <c r="Q63" s="110"/>
      <c r="R63" s="141"/>
      <c r="S63" s="110"/>
      <c r="T63" s="110"/>
      <c r="U63" s="110"/>
      <c r="V63" s="110"/>
      <c r="W63" s="110"/>
      <c r="X63" s="110"/>
      <c r="Y63" s="110"/>
      <c r="Z63" s="110"/>
      <c r="AA63" s="110"/>
      <c r="AB63" s="110"/>
      <c r="AC63" s="110"/>
      <c r="AD63" s="110"/>
      <c r="AE63" s="110"/>
      <c r="AF63" s="110"/>
      <c r="AG63" s="110"/>
      <c r="AH63" s="110"/>
      <c r="AI63" s="110"/>
    </row>
    <row r="64">
      <c r="A64" s="110"/>
      <c r="B64" s="110"/>
      <c r="C64" s="110"/>
      <c r="D64" s="110"/>
      <c r="E64" s="110"/>
      <c r="F64" s="110"/>
      <c r="G64" s="110"/>
      <c r="H64" s="110"/>
      <c r="I64" s="110"/>
      <c r="J64" s="110"/>
      <c r="K64" s="110"/>
      <c r="L64" s="110"/>
      <c r="M64" s="110"/>
      <c r="N64" s="110"/>
      <c r="O64" s="110"/>
      <c r="P64" s="110"/>
      <c r="Q64" s="110"/>
      <c r="R64" s="141"/>
      <c r="S64" s="110"/>
      <c r="T64" s="110"/>
      <c r="U64" s="109"/>
      <c r="V64" s="110"/>
      <c r="W64" s="110"/>
      <c r="X64" s="110"/>
      <c r="Y64" s="110"/>
      <c r="Z64" s="110"/>
      <c r="AA64" s="110"/>
      <c r="AB64" s="110"/>
      <c r="AC64" s="110"/>
      <c r="AD64" s="110"/>
      <c r="AE64" s="110"/>
      <c r="AF64" s="110"/>
      <c r="AG64" s="110"/>
      <c r="AH64" s="110"/>
      <c r="AI64" s="110"/>
    </row>
    <row r="65">
      <c r="A65" s="110"/>
      <c r="B65" s="110"/>
      <c r="C65" s="110"/>
      <c r="D65" s="110"/>
      <c r="E65" s="110"/>
      <c r="F65" s="110"/>
      <c r="G65" s="110"/>
      <c r="H65" s="110"/>
      <c r="I65" s="110"/>
      <c r="J65" s="110"/>
      <c r="K65" s="110"/>
      <c r="L65" s="110"/>
      <c r="M65" s="110"/>
      <c r="N65" s="110"/>
      <c r="O65" s="110"/>
      <c r="P65" s="110"/>
      <c r="Q65" s="110"/>
      <c r="R65" s="141"/>
      <c r="S65" s="110"/>
      <c r="T65" s="110"/>
      <c r="U65" s="110"/>
      <c r="V65" s="110"/>
      <c r="W65" s="110"/>
      <c r="X65" s="110"/>
      <c r="Y65" s="110"/>
      <c r="Z65" s="110"/>
      <c r="AA65" s="110"/>
      <c r="AB65" s="110"/>
      <c r="AC65" s="110"/>
      <c r="AD65" s="110"/>
      <c r="AE65" s="110"/>
      <c r="AF65" s="110"/>
      <c r="AG65" s="110"/>
      <c r="AH65" s="110"/>
      <c r="AI65" s="110"/>
    </row>
    <row r="66">
      <c r="A66" s="110"/>
      <c r="B66" s="110"/>
      <c r="C66" s="110"/>
      <c r="D66" s="110"/>
      <c r="E66" s="110"/>
      <c r="F66" s="110"/>
      <c r="G66" s="110"/>
      <c r="H66" s="110"/>
      <c r="I66" s="110"/>
      <c r="J66" s="110"/>
      <c r="K66" s="110"/>
      <c r="L66" s="110"/>
      <c r="M66" s="110"/>
      <c r="N66" s="110"/>
      <c r="O66" s="110"/>
      <c r="P66" s="109" t="s">
        <v>8</v>
      </c>
      <c r="Q66" s="110"/>
      <c r="R66" s="141"/>
      <c r="S66" s="110"/>
      <c r="T66" s="110"/>
      <c r="U66" s="110"/>
      <c r="V66" s="110"/>
      <c r="W66" s="110"/>
      <c r="X66" s="110"/>
      <c r="Y66" s="110"/>
      <c r="Z66" s="110"/>
      <c r="AA66" s="110"/>
      <c r="AB66" s="110"/>
      <c r="AC66" s="110"/>
      <c r="AD66" s="110"/>
      <c r="AE66" s="110"/>
      <c r="AF66" s="110"/>
      <c r="AG66" s="110"/>
      <c r="AH66" s="110"/>
      <c r="AI66" s="110"/>
    </row>
    <row r="67">
      <c r="A67" s="142"/>
      <c r="B67" s="143"/>
      <c r="C67" s="143"/>
      <c r="D67" s="143"/>
      <c r="E67" s="143"/>
      <c r="F67" s="143"/>
      <c r="G67" s="143"/>
      <c r="H67" s="143"/>
      <c r="I67" s="143"/>
      <c r="J67" s="143"/>
      <c r="K67" s="143"/>
      <c r="L67" s="142"/>
      <c r="M67" s="142"/>
      <c r="N67" s="142"/>
      <c r="O67" s="142"/>
      <c r="P67" s="142"/>
      <c r="Q67" s="142"/>
      <c r="R67" s="144"/>
      <c r="S67" s="142"/>
      <c r="T67" s="142"/>
      <c r="U67" s="142"/>
      <c r="V67" s="142"/>
      <c r="W67" s="142"/>
      <c r="X67" s="142"/>
      <c r="Y67" s="142"/>
      <c r="Z67" s="142"/>
      <c r="AA67" s="142"/>
      <c r="AB67" s="142"/>
      <c r="AC67" s="142"/>
      <c r="AD67" s="142"/>
      <c r="AE67" s="142"/>
      <c r="AF67" s="142"/>
      <c r="AG67" s="142"/>
      <c r="AH67" s="142"/>
      <c r="AI67" s="142"/>
    </row>
    <row r="68">
      <c r="A68" s="142"/>
      <c r="B68" s="143"/>
      <c r="C68" s="143"/>
      <c r="D68" s="143"/>
      <c r="E68" s="143"/>
      <c r="F68" s="143"/>
      <c r="G68" s="143"/>
      <c r="H68" s="143"/>
      <c r="I68" s="143"/>
      <c r="J68" s="143"/>
      <c r="K68" s="143"/>
      <c r="L68" s="142"/>
      <c r="M68" s="142"/>
      <c r="N68" s="142"/>
      <c r="O68" s="142"/>
      <c r="P68" s="142"/>
      <c r="Q68" s="142"/>
      <c r="R68" s="144"/>
      <c r="S68" s="142"/>
      <c r="T68" s="142"/>
      <c r="U68" s="142"/>
      <c r="V68" s="142"/>
      <c r="W68" s="142"/>
      <c r="X68" s="142"/>
      <c r="Y68" s="142"/>
      <c r="Z68" s="142"/>
      <c r="AA68" s="142"/>
      <c r="AB68" s="142"/>
      <c r="AC68" s="142"/>
      <c r="AD68" s="142"/>
      <c r="AE68" s="142"/>
      <c r="AF68" s="142"/>
      <c r="AG68" s="142"/>
      <c r="AH68" s="142"/>
      <c r="AI68" s="142"/>
    </row>
    <row r="69">
      <c r="A69" s="142"/>
      <c r="B69" s="142"/>
      <c r="C69" s="142"/>
      <c r="D69" s="142"/>
      <c r="E69" s="142"/>
      <c r="F69" s="142"/>
      <c r="G69" s="142"/>
      <c r="H69" s="142"/>
      <c r="I69" s="142"/>
      <c r="J69" s="142"/>
      <c r="K69" s="142"/>
      <c r="L69" s="142"/>
      <c r="M69" s="142"/>
      <c r="N69" s="142"/>
      <c r="O69" s="142"/>
      <c r="P69" s="142"/>
      <c r="Q69" s="142"/>
      <c r="R69" s="144"/>
      <c r="S69" s="142"/>
      <c r="T69" s="142"/>
      <c r="U69" s="142"/>
      <c r="V69" s="142"/>
      <c r="W69" s="142"/>
      <c r="X69" s="142"/>
      <c r="Y69" s="142"/>
      <c r="Z69" s="142"/>
      <c r="AA69" s="142"/>
      <c r="AB69" s="142"/>
      <c r="AC69" s="142"/>
      <c r="AD69" s="142"/>
      <c r="AE69" s="142"/>
      <c r="AF69" s="142"/>
      <c r="AG69" s="142"/>
      <c r="AH69" s="142"/>
      <c r="AI69" s="142"/>
    </row>
    <row r="70">
      <c r="A70" s="142"/>
      <c r="B70" s="142"/>
      <c r="C70" s="142"/>
      <c r="D70" s="142"/>
      <c r="E70" s="142"/>
      <c r="F70" s="142"/>
      <c r="G70" s="142"/>
      <c r="H70" s="142"/>
      <c r="I70" s="142"/>
      <c r="J70" s="142"/>
      <c r="K70" s="142"/>
      <c r="L70" s="142"/>
      <c r="M70" s="142"/>
      <c r="N70" s="142"/>
      <c r="O70" s="142"/>
      <c r="P70" s="142"/>
      <c r="Q70" s="142"/>
      <c r="R70" s="144"/>
      <c r="S70" s="142"/>
      <c r="T70" s="142"/>
      <c r="U70" s="142"/>
      <c r="V70" s="142"/>
      <c r="W70" s="142"/>
      <c r="X70" s="142"/>
      <c r="Y70" s="142"/>
      <c r="Z70" s="142"/>
      <c r="AA70" s="142"/>
      <c r="AB70" s="142"/>
      <c r="AC70" s="142"/>
      <c r="AD70" s="142"/>
      <c r="AE70" s="142"/>
      <c r="AF70" s="142"/>
      <c r="AG70" s="142"/>
      <c r="AH70" s="142"/>
      <c r="AI70" s="142"/>
    </row>
    <row r="71">
      <c r="A71" s="142"/>
      <c r="B71" s="142"/>
      <c r="C71" s="142"/>
      <c r="D71" s="142"/>
      <c r="E71" s="142"/>
      <c r="F71" s="142"/>
      <c r="G71" s="142"/>
      <c r="H71" s="142"/>
      <c r="I71" s="142"/>
      <c r="J71" s="142"/>
      <c r="K71" s="142"/>
      <c r="L71" s="142"/>
      <c r="M71" s="142"/>
      <c r="N71" s="142"/>
      <c r="O71" s="142"/>
      <c r="P71" s="142"/>
      <c r="Q71" s="142"/>
      <c r="R71" s="144"/>
      <c r="S71" s="142"/>
      <c r="T71" s="142"/>
      <c r="U71" s="142"/>
      <c r="V71" s="142"/>
      <c r="W71" s="142"/>
      <c r="X71" s="142"/>
      <c r="Y71" s="142"/>
      <c r="Z71" s="142"/>
      <c r="AA71" s="142"/>
      <c r="AB71" s="142"/>
      <c r="AC71" s="142"/>
      <c r="AD71" s="142"/>
      <c r="AE71" s="142"/>
      <c r="AF71" s="142"/>
      <c r="AG71" s="142"/>
      <c r="AH71" s="142"/>
      <c r="AI71" s="142"/>
    </row>
    <row r="72">
      <c r="A72" s="142"/>
      <c r="B72" s="142"/>
      <c r="C72" s="142"/>
      <c r="D72" s="142"/>
      <c r="E72" s="142"/>
      <c r="F72" s="142"/>
      <c r="G72" s="142"/>
      <c r="H72" s="142"/>
      <c r="I72" s="142"/>
      <c r="J72" s="142"/>
      <c r="K72" s="142"/>
      <c r="L72" s="142"/>
      <c r="M72" s="142"/>
      <c r="N72" s="142"/>
      <c r="O72" s="142"/>
      <c r="P72" s="142"/>
      <c r="Q72" s="142"/>
      <c r="R72" s="144"/>
      <c r="S72" s="142"/>
      <c r="T72" s="142"/>
      <c r="U72" s="142"/>
      <c r="V72" s="142"/>
      <c r="W72" s="142"/>
      <c r="X72" s="142"/>
      <c r="Y72" s="142"/>
      <c r="Z72" s="142"/>
      <c r="AA72" s="142"/>
      <c r="AB72" s="142"/>
      <c r="AC72" s="142"/>
      <c r="AD72" s="142"/>
      <c r="AE72" s="142"/>
      <c r="AF72" s="142"/>
      <c r="AG72" s="142"/>
      <c r="AH72" s="142"/>
      <c r="AI72" s="142"/>
    </row>
    <row r="73">
      <c r="A73" s="142"/>
      <c r="B73" s="142"/>
      <c r="C73" s="142"/>
      <c r="D73" s="142"/>
      <c r="E73" s="142"/>
      <c r="F73" s="142"/>
      <c r="G73" s="142"/>
      <c r="H73" s="142"/>
      <c r="I73" s="142"/>
      <c r="J73" s="142"/>
      <c r="K73" s="142"/>
      <c r="L73" s="142"/>
      <c r="M73" s="142"/>
      <c r="N73" s="142"/>
      <c r="O73" s="142"/>
      <c r="P73" s="142"/>
      <c r="Q73" s="142"/>
      <c r="R73" s="144"/>
      <c r="S73" s="142"/>
      <c r="T73" s="142"/>
      <c r="U73" s="142"/>
      <c r="V73" s="142"/>
      <c r="W73" s="142"/>
      <c r="X73" s="142"/>
      <c r="Y73" s="142"/>
      <c r="Z73" s="142"/>
      <c r="AA73" s="142"/>
      <c r="AB73" s="142"/>
      <c r="AC73" s="142"/>
      <c r="AD73" s="142"/>
      <c r="AE73" s="142"/>
      <c r="AF73" s="142"/>
      <c r="AG73" s="142"/>
      <c r="AH73" s="142"/>
      <c r="AI73" s="142"/>
    </row>
    <row r="74">
      <c r="A74" s="142"/>
      <c r="B74" s="142"/>
      <c r="C74" s="142"/>
      <c r="D74" s="142"/>
      <c r="E74" s="142"/>
      <c r="F74" s="142"/>
      <c r="G74" s="142"/>
      <c r="H74" s="142"/>
      <c r="I74" s="142"/>
      <c r="J74" s="142"/>
      <c r="K74" s="142"/>
      <c r="L74" s="142"/>
      <c r="M74" s="142"/>
      <c r="N74" s="142"/>
      <c r="O74" s="142"/>
      <c r="P74" s="142"/>
      <c r="Q74" s="142"/>
      <c r="R74" s="144"/>
      <c r="S74" s="142"/>
      <c r="T74" s="142"/>
      <c r="U74" s="142"/>
      <c r="V74" s="142"/>
      <c r="W74" s="142"/>
      <c r="X74" s="142"/>
      <c r="Y74" s="142"/>
      <c r="Z74" s="142"/>
      <c r="AA74" s="142"/>
      <c r="AB74" s="142"/>
      <c r="AC74" s="142"/>
      <c r="AD74" s="142"/>
      <c r="AE74" s="142"/>
      <c r="AF74" s="142"/>
      <c r="AG74" s="142"/>
      <c r="AH74" s="142"/>
      <c r="AI74" s="142"/>
    </row>
    <row r="75">
      <c r="A75" s="142"/>
      <c r="B75" s="142"/>
      <c r="C75" s="142"/>
      <c r="D75" s="142"/>
      <c r="E75" s="142"/>
      <c r="F75" s="142"/>
      <c r="G75" s="142"/>
      <c r="H75" s="142"/>
      <c r="I75" s="142"/>
      <c r="J75" s="142"/>
      <c r="K75" s="142"/>
      <c r="L75" s="142"/>
      <c r="M75" s="142"/>
      <c r="N75" s="142"/>
      <c r="O75" s="142"/>
      <c r="P75" s="142"/>
      <c r="Q75" s="142"/>
      <c r="R75" s="144"/>
      <c r="S75" s="142"/>
      <c r="T75" s="142"/>
      <c r="U75" s="142"/>
      <c r="V75" s="142"/>
      <c r="W75" s="142"/>
      <c r="X75" s="142"/>
      <c r="Y75" s="142"/>
      <c r="Z75" s="142"/>
      <c r="AA75" s="142"/>
      <c r="AB75" s="142"/>
      <c r="AC75" s="142"/>
      <c r="AD75" s="142"/>
      <c r="AE75" s="142"/>
      <c r="AF75" s="142"/>
      <c r="AG75" s="142"/>
      <c r="AH75" s="142"/>
      <c r="AI75" s="142"/>
    </row>
    <row r="76">
      <c r="A76" s="142"/>
      <c r="B76" s="142"/>
      <c r="C76" s="142"/>
      <c r="D76" s="142"/>
      <c r="E76" s="142"/>
      <c r="F76" s="142"/>
      <c r="G76" s="142"/>
      <c r="H76" s="142"/>
      <c r="I76" s="142"/>
      <c r="J76" s="142"/>
      <c r="K76" s="142"/>
      <c r="L76" s="142"/>
      <c r="M76" s="142"/>
      <c r="N76" s="142"/>
      <c r="O76" s="142"/>
      <c r="P76" s="142"/>
      <c r="Q76" s="142"/>
      <c r="R76" s="144"/>
      <c r="S76" s="142"/>
      <c r="T76" s="142"/>
      <c r="U76" s="142"/>
      <c r="V76" s="142"/>
      <c r="W76" s="142"/>
      <c r="X76" s="142"/>
      <c r="Y76" s="142"/>
      <c r="Z76" s="142"/>
      <c r="AA76" s="142"/>
      <c r="AB76" s="142"/>
      <c r="AC76" s="142"/>
      <c r="AD76" s="142"/>
      <c r="AE76" s="142"/>
      <c r="AF76" s="142"/>
      <c r="AG76" s="142"/>
      <c r="AH76" s="142"/>
      <c r="AI76" s="142"/>
    </row>
    <row r="77">
      <c r="A77" s="142"/>
      <c r="B77" s="142"/>
      <c r="C77" s="142"/>
      <c r="D77" s="142"/>
      <c r="E77" s="142"/>
      <c r="F77" s="142"/>
      <c r="G77" s="142"/>
      <c r="H77" s="142"/>
      <c r="I77" s="142"/>
      <c r="J77" s="142"/>
      <c r="K77" s="142"/>
      <c r="L77" s="142"/>
      <c r="M77" s="142"/>
      <c r="N77" s="142"/>
      <c r="O77" s="142"/>
      <c r="P77" s="142"/>
      <c r="Q77" s="142"/>
      <c r="R77" s="144"/>
      <c r="S77" s="142"/>
      <c r="T77" s="142"/>
      <c r="U77" s="142"/>
      <c r="V77" s="142"/>
      <c r="W77" s="142"/>
      <c r="X77" s="142"/>
      <c r="Y77" s="142"/>
      <c r="Z77" s="142"/>
      <c r="AA77" s="142"/>
      <c r="AB77" s="142"/>
      <c r="AC77" s="142"/>
      <c r="AD77" s="142"/>
      <c r="AE77" s="142"/>
      <c r="AF77" s="142"/>
      <c r="AG77" s="142"/>
      <c r="AH77" s="142"/>
      <c r="AI77" s="142"/>
    </row>
    <row r="78">
      <c r="A78" s="142"/>
      <c r="B78" s="142"/>
      <c r="C78" s="142"/>
      <c r="D78" s="142"/>
      <c r="E78" s="142"/>
      <c r="F78" s="142"/>
      <c r="G78" s="142"/>
      <c r="H78" s="142"/>
      <c r="I78" s="142"/>
      <c r="J78" s="142"/>
      <c r="K78" s="142"/>
      <c r="L78" s="142"/>
      <c r="M78" s="142"/>
      <c r="N78" s="142"/>
      <c r="O78" s="142"/>
      <c r="P78" s="142"/>
      <c r="Q78" s="142"/>
      <c r="R78" s="144"/>
      <c r="S78" s="142"/>
      <c r="T78" s="142"/>
      <c r="U78" s="142"/>
      <c r="V78" s="142"/>
      <c r="W78" s="142"/>
      <c r="X78" s="142"/>
      <c r="Y78" s="142"/>
      <c r="Z78" s="142"/>
      <c r="AA78" s="142"/>
      <c r="AB78" s="142"/>
      <c r="AC78" s="142"/>
      <c r="AD78" s="142"/>
      <c r="AE78" s="142"/>
      <c r="AF78" s="142"/>
      <c r="AG78" s="142"/>
      <c r="AH78" s="142"/>
      <c r="AI78" s="142"/>
    </row>
    <row r="79">
      <c r="A79" s="142"/>
      <c r="B79" s="142"/>
      <c r="C79" s="142"/>
      <c r="D79" s="142"/>
      <c r="E79" s="142"/>
      <c r="F79" s="142"/>
      <c r="G79" s="142"/>
      <c r="H79" s="142"/>
      <c r="I79" s="142"/>
      <c r="J79" s="142"/>
      <c r="K79" s="142"/>
      <c r="L79" s="142"/>
      <c r="M79" s="142"/>
      <c r="N79" s="142"/>
      <c r="O79" s="142"/>
      <c r="P79" s="142"/>
      <c r="Q79" s="142"/>
      <c r="R79" s="144"/>
      <c r="S79" s="142"/>
      <c r="T79" s="142"/>
      <c r="U79" s="142"/>
      <c r="V79" s="142"/>
      <c r="W79" s="142"/>
      <c r="X79" s="142"/>
      <c r="Y79" s="142"/>
      <c r="Z79" s="142"/>
      <c r="AA79" s="142"/>
      <c r="AB79" s="142"/>
      <c r="AC79" s="142"/>
      <c r="AD79" s="142"/>
      <c r="AE79" s="142"/>
      <c r="AF79" s="142"/>
      <c r="AG79" s="142"/>
      <c r="AH79" s="142"/>
      <c r="AI79" s="142"/>
    </row>
    <row r="80">
      <c r="A80" s="142"/>
      <c r="B80" s="142"/>
      <c r="C80" s="142"/>
      <c r="D80" s="142"/>
      <c r="E80" s="142"/>
      <c r="F80" s="142"/>
      <c r="G80" s="142"/>
      <c r="H80" s="142"/>
      <c r="I80" s="142"/>
      <c r="J80" s="142"/>
      <c r="K80" s="142"/>
      <c r="L80" s="142"/>
      <c r="M80" s="142"/>
      <c r="N80" s="142"/>
      <c r="O80" s="142"/>
      <c r="P80" s="142"/>
      <c r="Q80" s="142"/>
      <c r="R80" s="144"/>
      <c r="S80" s="142"/>
      <c r="T80" s="142"/>
      <c r="U80" s="142"/>
      <c r="V80" s="142"/>
      <c r="W80" s="142"/>
      <c r="X80" s="142"/>
      <c r="Y80" s="142"/>
      <c r="Z80" s="142"/>
      <c r="AA80" s="142"/>
      <c r="AB80" s="142"/>
      <c r="AC80" s="142"/>
      <c r="AD80" s="142"/>
      <c r="AE80" s="142"/>
      <c r="AF80" s="142"/>
      <c r="AG80" s="142"/>
      <c r="AH80" s="142"/>
      <c r="AI80" s="142"/>
    </row>
    <row r="81">
      <c r="A81" s="142"/>
      <c r="B81" s="142"/>
      <c r="C81" s="142"/>
      <c r="D81" s="142"/>
      <c r="E81" s="142"/>
      <c r="F81" s="142"/>
      <c r="G81" s="142"/>
      <c r="H81" s="142"/>
      <c r="I81" s="142"/>
      <c r="J81" s="142"/>
      <c r="K81" s="142"/>
      <c r="L81" s="142"/>
      <c r="M81" s="142"/>
      <c r="N81" s="142"/>
      <c r="O81" s="142"/>
      <c r="P81" s="142"/>
      <c r="Q81" s="142"/>
      <c r="R81" s="144"/>
      <c r="S81" s="142"/>
      <c r="T81" s="142"/>
      <c r="U81" s="142"/>
      <c r="V81" s="142"/>
      <c r="W81" s="142"/>
      <c r="X81" s="142"/>
      <c r="Y81" s="142"/>
      <c r="Z81" s="142"/>
      <c r="AA81" s="142"/>
      <c r="AB81" s="142"/>
      <c r="AC81" s="142"/>
      <c r="AD81" s="142"/>
      <c r="AE81" s="142"/>
      <c r="AF81" s="142"/>
      <c r="AG81" s="142"/>
      <c r="AH81" s="142"/>
      <c r="AI81" s="142"/>
    </row>
    <row r="82">
      <c r="A82" s="142"/>
      <c r="B82" s="142"/>
      <c r="C82" s="142"/>
      <c r="D82" s="142"/>
      <c r="E82" s="142"/>
      <c r="F82" s="142"/>
      <c r="G82" s="142"/>
      <c r="H82" s="142"/>
      <c r="I82" s="142"/>
      <c r="J82" s="142"/>
      <c r="K82" s="142"/>
      <c r="L82" s="142"/>
      <c r="M82" s="142"/>
      <c r="N82" s="142"/>
      <c r="O82" s="142"/>
      <c r="P82" s="142"/>
      <c r="Q82" s="142"/>
      <c r="R82" s="144"/>
      <c r="S82" s="142"/>
      <c r="T82" s="142"/>
      <c r="U82" s="142"/>
      <c r="V82" s="142"/>
      <c r="W82" s="142"/>
      <c r="X82" s="142"/>
      <c r="Y82" s="142"/>
      <c r="Z82" s="142"/>
      <c r="AA82" s="142"/>
      <c r="AB82" s="142"/>
      <c r="AC82" s="142"/>
      <c r="AD82" s="142"/>
      <c r="AE82" s="142"/>
      <c r="AF82" s="142"/>
      <c r="AG82" s="142"/>
      <c r="AH82" s="142"/>
      <c r="AI82" s="142"/>
    </row>
    <row r="83">
      <c r="A83" s="142"/>
      <c r="B83" s="142"/>
      <c r="C83" s="142"/>
      <c r="D83" s="142"/>
      <c r="E83" s="142"/>
      <c r="F83" s="142"/>
      <c r="G83" s="142"/>
      <c r="H83" s="142"/>
      <c r="I83" s="142"/>
      <c r="J83" s="142"/>
      <c r="K83" s="142"/>
      <c r="L83" s="142"/>
      <c r="M83" s="142"/>
      <c r="N83" s="142"/>
      <c r="O83" s="142"/>
      <c r="P83" s="142"/>
      <c r="Q83" s="142"/>
      <c r="R83" s="144"/>
      <c r="S83" s="142"/>
      <c r="T83" s="142"/>
      <c r="U83" s="142"/>
      <c r="V83" s="142"/>
      <c r="W83" s="142"/>
      <c r="X83" s="142"/>
      <c r="Y83" s="142"/>
      <c r="Z83" s="142"/>
      <c r="AA83" s="142"/>
      <c r="AB83" s="142"/>
      <c r="AC83" s="142"/>
      <c r="AD83" s="142"/>
      <c r="AE83" s="142"/>
      <c r="AF83" s="142"/>
      <c r="AG83" s="142"/>
      <c r="AH83" s="142"/>
      <c r="AI83" s="142"/>
    </row>
    <row r="84">
      <c r="A84" s="142"/>
      <c r="B84" s="142"/>
      <c r="C84" s="142"/>
      <c r="D84" s="142"/>
      <c r="E84" s="142"/>
      <c r="F84" s="142"/>
      <c r="G84" s="142"/>
      <c r="H84" s="142"/>
      <c r="I84" s="142"/>
      <c r="J84" s="142"/>
      <c r="K84" s="142"/>
      <c r="L84" s="142"/>
      <c r="M84" s="142"/>
      <c r="N84" s="142"/>
      <c r="O84" s="142"/>
      <c r="P84" s="142"/>
      <c r="Q84" s="142"/>
      <c r="R84" s="144"/>
      <c r="S84" s="142"/>
      <c r="T84" s="142"/>
      <c r="U84" s="142"/>
      <c r="V84" s="142"/>
      <c r="W84" s="142"/>
      <c r="X84" s="142"/>
      <c r="Y84" s="142"/>
      <c r="Z84" s="142"/>
      <c r="AA84" s="142"/>
      <c r="AB84" s="142"/>
      <c r="AC84" s="142"/>
      <c r="AD84" s="142"/>
      <c r="AE84" s="142"/>
      <c r="AF84" s="142"/>
      <c r="AG84" s="142"/>
      <c r="AH84" s="142"/>
      <c r="AI84" s="142"/>
    </row>
    <row r="85">
      <c r="A85" s="142"/>
      <c r="B85" s="142"/>
      <c r="C85" s="142"/>
      <c r="D85" s="142"/>
      <c r="E85" s="142"/>
      <c r="F85" s="142"/>
      <c r="G85" s="142"/>
      <c r="H85" s="142"/>
      <c r="I85" s="142"/>
      <c r="J85" s="142"/>
      <c r="K85" s="142"/>
      <c r="L85" s="142"/>
      <c r="M85" s="142"/>
      <c r="N85" s="142"/>
      <c r="O85" s="142"/>
      <c r="P85" s="142"/>
      <c r="Q85" s="142"/>
      <c r="R85" s="144"/>
      <c r="S85" s="142"/>
      <c r="T85" s="142"/>
      <c r="U85" s="142"/>
      <c r="V85" s="142"/>
      <c r="W85" s="142"/>
      <c r="X85" s="142"/>
      <c r="Y85" s="142"/>
      <c r="Z85" s="142"/>
      <c r="AA85" s="142"/>
      <c r="AB85" s="142"/>
      <c r="AC85" s="142"/>
      <c r="AD85" s="142"/>
      <c r="AE85" s="142"/>
      <c r="AF85" s="142"/>
      <c r="AG85" s="142"/>
      <c r="AH85" s="142"/>
      <c r="AI85" s="142"/>
    </row>
    <row r="86">
      <c r="A86" s="142"/>
      <c r="B86" s="142"/>
      <c r="C86" s="142"/>
      <c r="D86" s="142"/>
      <c r="E86" s="142"/>
      <c r="F86" s="142"/>
      <c r="G86" s="142"/>
      <c r="H86" s="142"/>
      <c r="I86" s="142"/>
      <c r="J86" s="142"/>
      <c r="K86" s="142"/>
      <c r="L86" s="142"/>
      <c r="M86" s="142"/>
      <c r="N86" s="142"/>
      <c r="O86" s="142"/>
      <c r="P86" s="142"/>
      <c r="Q86" s="142"/>
      <c r="R86" s="144"/>
      <c r="S86" s="142"/>
      <c r="T86" s="142"/>
      <c r="U86" s="142"/>
      <c r="V86" s="142"/>
      <c r="W86" s="142"/>
      <c r="X86" s="142"/>
      <c r="Y86" s="142"/>
      <c r="Z86" s="142"/>
      <c r="AA86" s="142"/>
      <c r="AB86" s="142"/>
      <c r="AC86" s="142"/>
      <c r="AD86" s="142"/>
      <c r="AE86" s="142"/>
      <c r="AF86" s="142"/>
      <c r="AG86" s="142"/>
      <c r="AH86" s="142"/>
      <c r="AI86" s="142"/>
    </row>
    <row r="87">
      <c r="A87" s="142"/>
      <c r="B87" s="142"/>
      <c r="C87" s="142"/>
      <c r="D87" s="142"/>
      <c r="E87" s="142"/>
      <c r="F87" s="142"/>
      <c r="G87" s="142"/>
      <c r="H87" s="142"/>
      <c r="I87" s="142"/>
      <c r="J87" s="142"/>
      <c r="K87" s="142"/>
      <c r="L87" s="142"/>
      <c r="M87" s="142"/>
      <c r="N87" s="142"/>
      <c r="O87" s="142"/>
      <c r="P87" s="142"/>
      <c r="Q87" s="142"/>
      <c r="R87" s="144"/>
      <c r="S87" s="142"/>
      <c r="T87" s="142"/>
      <c r="U87" s="142"/>
      <c r="V87" s="142"/>
      <c r="W87" s="142"/>
      <c r="X87" s="142"/>
      <c r="Y87" s="142"/>
      <c r="Z87" s="142"/>
      <c r="AA87" s="142"/>
      <c r="AB87" s="142"/>
      <c r="AC87" s="142"/>
      <c r="AD87" s="142"/>
      <c r="AE87" s="142"/>
      <c r="AF87" s="142"/>
      <c r="AG87" s="142"/>
      <c r="AH87" s="142"/>
      <c r="AI87" s="142"/>
    </row>
    <row r="88">
      <c r="A88" s="142"/>
      <c r="B88" s="142"/>
      <c r="C88" s="142"/>
      <c r="D88" s="142"/>
      <c r="E88" s="142"/>
      <c r="F88" s="142"/>
      <c r="G88" s="142"/>
      <c r="H88" s="142"/>
      <c r="I88" s="142"/>
      <c r="J88" s="142"/>
      <c r="K88" s="142"/>
      <c r="L88" s="142"/>
      <c r="M88" s="142"/>
      <c r="N88" s="142"/>
      <c r="O88" s="142"/>
      <c r="P88" s="142"/>
      <c r="Q88" s="142"/>
      <c r="R88" s="144"/>
      <c r="S88" s="142"/>
      <c r="T88" s="142"/>
      <c r="U88" s="142"/>
      <c r="V88" s="142"/>
      <c r="W88" s="142"/>
      <c r="X88" s="142"/>
      <c r="Y88" s="142"/>
      <c r="Z88" s="142"/>
      <c r="AA88" s="142"/>
      <c r="AB88" s="142"/>
      <c r="AC88" s="142"/>
      <c r="AD88" s="142"/>
      <c r="AE88" s="142"/>
      <c r="AF88" s="142"/>
      <c r="AG88" s="142"/>
      <c r="AH88" s="142"/>
      <c r="AI88" s="142"/>
    </row>
    <row r="89">
      <c r="A89" s="142"/>
      <c r="B89" s="142"/>
      <c r="C89" s="142"/>
      <c r="D89" s="142"/>
      <c r="E89" s="142"/>
      <c r="F89" s="142"/>
      <c r="G89" s="142"/>
      <c r="H89" s="142"/>
      <c r="I89" s="142"/>
      <c r="J89" s="142"/>
      <c r="K89" s="142"/>
      <c r="L89" s="142"/>
      <c r="M89" s="142"/>
      <c r="N89" s="142"/>
      <c r="O89" s="142"/>
      <c r="P89" s="142"/>
      <c r="Q89" s="142"/>
      <c r="R89" s="144"/>
      <c r="S89" s="142"/>
      <c r="T89" s="142"/>
      <c r="U89" s="142"/>
      <c r="V89" s="142"/>
      <c r="W89" s="142"/>
      <c r="X89" s="142"/>
      <c r="Y89" s="142"/>
      <c r="Z89" s="142"/>
      <c r="AA89" s="142"/>
      <c r="AB89" s="142"/>
      <c r="AC89" s="142"/>
      <c r="AD89" s="142"/>
      <c r="AE89" s="142"/>
      <c r="AF89" s="142"/>
      <c r="AG89" s="142"/>
      <c r="AH89" s="142"/>
      <c r="AI89" s="142"/>
    </row>
    <row r="90">
      <c r="A90" s="142"/>
      <c r="B90" s="142"/>
      <c r="C90" s="142"/>
      <c r="D90" s="142"/>
      <c r="E90" s="142"/>
      <c r="F90" s="142"/>
      <c r="G90" s="142"/>
      <c r="H90" s="142"/>
      <c r="I90" s="142"/>
      <c r="J90" s="142"/>
      <c r="K90" s="142"/>
      <c r="L90" s="142"/>
      <c r="M90" s="142"/>
      <c r="N90" s="142"/>
      <c r="O90" s="142"/>
      <c r="P90" s="142"/>
      <c r="Q90" s="142"/>
      <c r="R90" s="144"/>
      <c r="S90" s="142"/>
      <c r="T90" s="142"/>
      <c r="U90" s="142"/>
      <c r="V90" s="142"/>
      <c r="W90" s="142"/>
      <c r="X90" s="142"/>
      <c r="Y90" s="142"/>
      <c r="Z90" s="142"/>
      <c r="AA90" s="142"/>
      <c r="AB90" s="142"/>
      <c r="AC90" s="142"/>
      <c r="AD90" s="142"/>
      <c r="AE90" s="142"/>
      <c r="AF90" s="142"/>
      <c r="AG90" s="142"/>
      <c r="AH90" s="142"/>
      <c r="AI90" s="142"/>
    </row>
    <row r="91">
      <c r="A91" s="142"/>
      <c r="B91" s="142"/>
      <c r="C91" s="142"/>
      <c r="D91" s="142"/>
      <c r="E91" s="142"/>
      <c r="F91" s="142"/>
      <c r="G91" s="142"/>
      <c r="H91" s="142"/>
      <c r="I91" s="142"/>
      <c r="J91" s="142"/>
      <c r="K91" s="142"/>
      <c r="L91" s="142"/>
      <c r="M91" s="142"/>
      <c r="N91" s="142"/>
      <c r="O91" s="142"/>
      <c r="P91" s="142"/>
      <c r="Q91" s="142"/>
      <c r="R91" s="144"/>
      <c r="S91" s="142"/>
      <c r="T91" s="142"/>
      <c r="U91" s="142"/>
      <c r="V91" s="142"/>
      <c r="W91" s="142"/>
      <c r="X91" s="142"/>
      <c r="Y91" s="142"/>
      <c r="Z91" s="142"/>
      <c r="AA91" s="142"/>
      <c r="AB91" s="142"/>
      <c r="AC91" s="142"/>
      <c r="AD91" s="142"/>
      <c r="AE91" s="142"/>
      <c r="AF91" s="142"/>
      <c r="AG91" s="142"/>
      <c r="AH91" s="142"/>
      <c r="AI91" s="142"/>
    </row>
    <row r="92">
      <c r="A92" s="142"/>
      <c r="B92" s="142"/>
      <c r="C92" s="142"/>
      <c r="D92" s="142"/>
      <c r="E92" s="142"/>
      <c r="F92" s="142"/>
      <c r="G92" s="142"/>
      <c r="H92" s="142"/>
      <c r="I92" s="142"/>
      <c r="J92" s="142"/>
      <c r="K92" s="142"/>
      <c r="L92" s="142"/>
      <c r="M92" s="142"/>
      <c r="N92" s="142"/>
      <c r="O92" s="142"/>
      <c r="P92" s="142"/>
      <c r="Q92" s="142"/>
      <c r="R92" s="144"/>
      <c r="S92" s="142"/>
      <c r="T92" s="142"/>
      <c r="U92" s="142"/>
      <c r="V92" s="142"/>
      <c r="W92" s="142"/>
      <c r="X92" s="142"/>
      <c r="Y92" s="142"/>
      <c r="Z92" s="142"/>
      <c r="AA92" s="142"/>
      <c r="AB92" s="142"/>
      <c r="AC92" s="142"/>
      <c r="AD92" s="142"/>
      <c r="AE92" s="142"/>
      <c r="AF92" s="142"/>
      <c r="AG92" s="142"/>
      <c r="AH92" s="142"/>
      <c r="AI92" s="142"/>
    </row>
    <row r="93">
      <c r="A93" s="142"/>
      <c r="B93" s="142"/>
      <c r="C93" s="142"/>
      <c r="D93" s="142"/>
      <c r="E93" s="142"/>
      <c r="F93" s="142"/>
      <c r="G93" s="142"/>
      <c r="H93" s="142"/>
      <c r="I93" s="142"/>
      <c r="J93" s="142"/>
      <c r="K93" s="142"/>
      <c r="L93" s="142"/>
      <c r="M93" s="142"/>
      <c r="N93" s="142"/>
      <c r="O93" s="142"/>
      <c r="P93" s="142"/>
      <c r="Q93" s="142"/>
      <c r="R93" s="144"/>
      <c r="S93" s="142"/>
      <c r="T93" s="142"/>
      <c r="U93" s="142"/>
      <c r="V93" s="142"/>
      <c r="W93" s="142"/>
      <c r="X93" s="142"/>
      <c r="Y93" s="142"/>
      <c r="Z93" s="142"/>
      <c r="AA93" s="142"/>
      <c r="AB93" s="142"/>
      <c r="AC93" s="142"/>
      <c r="AD93" s="142"/>
      <c r="AE93" s="142"/>
      <c r="AF93" s="142"/>
      <c r="AG93" s="142"/>
      <c r="AH93" s="142"/>
      <c r="AI93" s="142"/>
    </row>
    <row r="94">
      <c r="A94" s="142"/>
      <c r="B94" s="142"/>
      <c r="C94" s="142"/>
      <c r="D94" s="142"/>
      <c r="E94" s="142"/>
      <c r="F94" s="142"/>
      <c r="G94" s="142"/>
      <c r="H94" s="142"/>
      <c r="I94" s="142"/>
      <c r="J94" s="142"/>
      <c r="K94" s="142"/>
      <c r="L94" s="142"/>
      <c r="M94" s="142"/>
      <c r="N94" s="142"/>
      <c r="O94" s="142"/>
      <c r="P94" s="142"/>
      <c r="Q94" s="142"/>
      <c r="R94" s="144"/>
      <c r="S94" s="142"/>
      <c r="T94" s="142"/>
      <c r="U94" s="142"/>
      <c r="V94" s="142"/>
      <c r="W94" s="142"/>
      <c r="X94" s="142"/>
      <c r="Y94" s="142"/>
      <c r="Z94" s="142"/>
      <c r="AA94" s="142"/>
      <c r="AB94" s="142"/>
      <c r="AC94" s="142"/>
      <c r="AD94" s="142"/>
      <c r="AE94" s="142"/>
      <c r="AF94" s="142"/>
      <c r="AG94" s="142"/>
      <c r="AH94" s="142"/>
      <c r="AI94" s="142"/>
    </row>
    <row r="95">
      <c r="A95" s="142"/>
      <c r="B95" s="142"/>
      <c r="C95" s="142"/>
      <c r="D95" s="142"/>
      <c r="E95" s="142"/>
      <c r="F95" s="142"/>
      <c r="G95" s="142"/>
      <c r="H95" s="142"/>
      <c r="I95" s="142"/>
      <c r="J95" s="142"/>
      <c r="K95" s="142"/>
      <c r="L95" s="142"/>
      <c r="M95" s="142"/>
      <c r="N95" s="142"/>
      <c r="O95" s="142"/>
      <c r="P95" s="142"/>
      <c r="Q95" s="142"/>
      <c r="R95" s="144"/>
      <c r="S95" s="142"/>
      <c r="T95" s="142"/>
      <c r="U95" s="142"/>
      <c r="V95" s="142"/>
      <c r="W95" s="142"/>
      <c r="X95" s="142"/>
      <c r="Y95" s="142"/>
      <c r="Z95" s="142"/>
      <c r="AA95" s="142"/>
      <c r="AB95" s="142"/>
      <c r="AC95" s="142"/>
      <c r="AD95" s="142"/>
      <c r="AE95" s="142"/>
      <c r="AF95" s="142"/>
      <c r="AG95" s="142"/>
      <c r="AH95" s="142"/>
      <c r="AI95" s="142"/>
    </row>
    <row r="96">
      <c r="A96" s="142"/>
      <c r="B96" s="142"/>
      <c r="C96" s="142"/>
      <c r="D96" s="142"/>
      <c r="E96" s="142"/>
      <c r="F96" s="142"/>
      <c r="G96" s="142"/>
      <c r="H96" s="142"/>
      <c r="I96" s="142"/>
      <c r="J96" s="142"/>
      <c r="K96" s="142"/>
      <c r="L96" s="142"/>
      <c r="M96" s="142"/>
      <c r="N96" s="142"/>
      <c r="O96" s="142"/>
      <c r="P96" s="142"/>
      <c r="Q96" s="142"/>
      <c r="R96" s="144"/>
      <c r="S96" s="142"/>
      <c r="T96" s="142"/>
      <c r="U96" s="142"/>
      <c r="V96" s="142"/>
      <c r="W96" s="142"/>
      <c r="X96" s="142"/>
      <c r="Y96" s="142"/>
      <c r="Z96" s="142"/>
      <c r="AA96" s="142"/>
      <c r="AB96" s="142"/>
      <c r="AC96" s="142"/>
      <c r="AD96" s="142"/>
      <c r="AE96" s="142"/>
      <c r="AF96" s="142"/>
      <c r="AG96" s="142"/>
      <c r="AH96" s="142"/>
      <c r="AI96" s="142"/>
    </row>
    <row r="97">
      <c r="A97" s="142"/>
      <c r="B97" s="142"/>
      <c r="C97" s="142"/>
      <c r="D97" s="142"/>
      <c r="E97" s="142"/>
      <c r="F97" s="142"/>
      <c r="G97" s="142"/>
      <c r="H97" s="142"/>
      <c r="I97" s="142"/>
      <c r="J97" s="142"/>
      <c r="K97" s="142"/>
      <c r="L97" s="142"/>
      <c r="M97" s="142"/>
      <c r="N97" s="142"/>
      <c r="O97" s="142"/>
      <c r="P97" s="142"/>
      <c r="Q97" s="142"/>
      <c r="R97" s="144"/>
      <c r="S97" s="142"/>
      <c r="T97" s="142"/>
      <c r="U97" s="142"/>
      <c r="V97" s="142"/>
      <c r="W97" s="142"/>
      <c r="X97" s="142"/>
      <c r="Y97" s="142"/>
      <c r="Z97" s="142"/>
      <c r="AA97" s="142"/>
      <c r="AB97" s="142"/>
      <c r="AC97" s="142"/>
      <c r="AD97" s="142"/>
      <c r="AE97" s="142"/>
      <c r="AF97" s="142"/>
      <c r="AG97" s="142"/>
      <c r="AH97" s="142"/>
      <c r="AI97" s="142"/>
    </row>
    <row r="98">
      <c r="A98" s="142"/>
      <c r="B98" s="142"/>
      <c r="C98" s="142"/>
      <c r="D98" s="142"/>
      <c r="E98" s="142"/>
      <c r="F98" s="142"/>
      <c r="G98" s="142"/>
      <c r="H98" s="142"/>
      <c r="I98" s="142"/>
      <c r="J98" s="142"/>
      <c r="K98" s="142"/>
      <c r="L98" s="142"/>
      <c r="M98" s="142"/>
      <c r="N98" s="142"/>
      <c r="O98" s="142"/>
      <c r="P98" s="142"/>
      <c r="Q98" s="142"/>
      <c r="R98" s="144"/>
      <c r="S98" s="142"/>
      <c r="T98" s="142"/>
      <c r="U98" s="142"/>
      <c r="V98" s="142"/>
      <c r="W98" s="142"/>
      <c r="X98" s="142"/>
      <c r="Y98" s="142"/>
      <c r="Z98" s="142"/>
      <c r="AA98" s="142"/>
      <c r="AB98" s="142"/>
      <c r="AC98" s="142"/>
      <c r="AD98" s="142"/>
      <c r="AE98" s="142"/>
      <c r="AF98" s="142"/>
      <c r="AG98" s="142"/>
      <c r="AH98" s="142"/>
      <c r="AI98" s="142"/>
    </row>
    <row r="99">
      <c r="A99" s="142"/>
      <c r="B99" s="142"/>
      <c r="C99" s="142"/>
      <c r="D99" s="142"/>
      <c r="E99" s="142"/>
      <c r="F99" s="142"/>
      <c r="G99" s="142"/>
      <c r="H99" s="142"/>
      <c r="I99" s="142"/>
      <c r="J99" s="142"/>
      <c r="K99" s="142"/>
      <c r="L99" s="142"/>
      <c r="M99" s="142"/>
      <c r="N99" s="142"/>
      <c r="O99" s="142"/>
      <c r="P99" s="142"/>
      <c r="Q99" s="142"/>
      <c r="R99" s="144"/>
      <c r="S99" s="142"/>
      <c r="T99" s="142"/>
      <c r="U99" s="142"/>
      <c r="V99" s="142"/>
      <c r="W99" s="142"/>
      <c r="X99" s="142"/>
      <c r="Y99" s="142"/>
      <c r="Z99" s="142"/>
      <c r="AA99" s="142"/>
      <c r="AB99" s="142"/>
      <c r="AC99" s="142"/>
      <c r="AD99" s="142"/>
      <c r="AE99" s="142"/>
      <c r="AF99" s="142"/>
      <c r="AG99" s="142"/>
      <c r="AH99" s="142"/>
      <c r="AI99" s="142"/>
    </row>
    <row r="100">
      <c r="A100" s="142"/>
      <c r="B100" s="142"/>
      <c r="C100" s="142"/>
      <c r="D100" s="142"/>
      <c r="E100" s="142"/>
      <c r="F100" s="142"/>
      <c r="G100" s="142"/>
      <c r="H100" s="142"/>
      <c r="I100" s="142"/>
      <c r="J100" s="142"/>
      <c r="K100" s="142"/>
      <c r="L100" s="142"/>
      <c r="M100" s="142"/>
      <c r="N100" s="142"/>
      <c r="O100" s="142"/>
      <c r="P100" s="142"/>
      <c r="Q100" s="142"/>
      <c r="R100" s="144"/>
      <c r="S100" s="142"/>
      <c r="T100" s="142"/>
      <c r="U100" s="142"/>
      <c r="V100" s="142"/>
      <c r="W100" s="142"/>
      <c r="X100" s="142"/>
      <c r="Y100" s="142"/>
      <c r="Z100" s="142"/>
      <c r="AA100" s="142"/>
      <c r="AB100" s="142"/>
      <c r="AC100" s="142"/>
      <c r="AD100" s="142"/>
      <c r="AE100" s="142"/>
      <c r="AF100" s="142"/>
      <c r="AG100" s="142"/>
      <c r="AH100" s="142"/>
      <c r="AI100" s="142"/>
    </row>
    <row r="101">
      <c r="A101" s="142"/>
      <c r="B101" s="142"/>
      <c r="C101" s="142"/>
      <c r="D101" s="142"/>
      <c r="E101" s="142"/>
      <c r="F101" s="142"/>
      <c r="G101" s="142"/>
      <c r="H101" s="142"/>
      <c r="I101" s="142"/>
      <c r="J101" s="142"/>
      <c r="K101" s="142"/>
      <c r="L101" s="142"/>
      <c r="M101" s="142"/>
      <c r="N101" s="142"/>
      <c r="O101" s="142"/>
      <c r="P101" s="142"/>
      <c r="Q101" s="142"/>
      <c r="R101" s="144"/>
      <c r="S101" s="142"/>
      <c r="T101" s="142"/>
      <c r="U101" s="142"/>
      <c r="V101" s="142"/>
      <c r="W101" s="142"/>
      <c r="X101" s="142"/>
      <c r="Y101" s="142"/>
      <c r="Z101" s="142"/>
      <c r="AA101" s="142"/>
      <c r="AB101" s="142"/>
      <c r="AC101" s="142"/>
      <c r="AD101" s="142"/>
      <c r="AE101" s="142"/>
      <c r="AF101" s="142"/>
      <c r="AG101" s="142"/>
      <c r="AH101" s="142"/>
      <c r="AI101" s="142"/>
    </row>
    <row r="102">
      <c r="A102" s="142"/>
      <c r="B102" s="142"/>
      <c r="C102" s="142"/>
      <c r="D102" s="142"/>
      <c r="E102" s="142"/>
      <c r="F102" s="142"/>
      <c r="G102" s="142"/>
      <c r="H102" s="142"/>
      <c r="I102" s="142"/>
      <c r="J102" s="142"/>
      <c r="K102" s="142"/>
      <c r="L102" s="142"/>
      <c r="M102" s="142"/>
      <c r="N102" s="142"/>
      <c r="O102" s="142"/>
      <c r="P102" s="142"/>
      <c r="Q102" s="142"/>
      <c r="R102" s="144"/>
      <c r="S102" s="142"/>
      <c r="T102" s="142"/>
      <c r="U102" s="142"/>
      <c r="V102" s="142"/>
      <c r="W102" s="142"/>
      <c r="X102" s="142"/>
      <c r="Y102" s="142"/>
      <c r="Z102" s="142"/>
      <c r="AA102" s="142"/>
      <c r="AB102" s="142"/>
      <c r="AC102" s="142"/>
      <c r="AD102" s="142"/>
      <c r="AE102" s="142"/>
      <c r="AF102" s="142"/>
      <c r="AG102" s="142"/>
      <c r="AH102" s="142"/>
      <c r="AI102" s="142"/>
    </row>
    <row r="103">
      <c r="A103" s="142"/>
      <c r="B103" s="142"/>
      <c r="C103" s="142"/>
      <c r="D103" s="142"/>
      <c r="E103" s="142"/>
      <c r="F103" s="142"/>
      <c r="G103" s="142"/>
      <c r="H103" s="142"/>
      <c r="I103" s="142"/>
      <c r="J103" s="142"/>
      <c r="K103" s="142"/>
      <c r="L103" s="142"/>
      <c r="M103" s="142"/>
      <c r="N103" s="142"/>
      <c r="O103" s="142"/>
      <c r="P103" s="142"/>
      <c r="Q103" s="142"/>
      <c r="R103" s="144"/>
      <c r="S103" s="142"/>
      <c r="T103" s="142"/>
      <c r="U103" s="142"/>
      <c r="V103" s="142"/>
      <c r="W103" s="142"/>
      <c r="X103" s="142"/>
      <c r="Y103" s="142"/>
      <c r="Z103" s="142"/>
      <c r="AA103" s="142"/>
      <c r="AB103" s="142"/>
      <c r="AC103" s="142"/>
      <c r="AD103" s="142"/>
      <c r="AE103" s="142"/>
      <c r="AF103" s="142"/>
      <c r="AG103" s="142"/>
      <c r="AH103" s="142"/>
      <c r="AI103" s="142"/>
    </row>
    <row r="104">
      <c r="A104" s="142"/>
      <c r="B104" s="142"/>
      <c r="C104" s="142"/>
      <c r="D104" s="142"/>
      <c r="E104" s="142"/>
      <c r="F104" s="142"/>
      <c r="G104" s="142"/>
      <c r="H104" s="142"/>
      <c r="I104" s="142"/>
      <c r="J104" s="142"/>
      <c r="K104" s="142"/>
      <c r="L104" s="142"/>
      <c r="M104" s="142"/>
      <c r="N104" s="142"/>
      <c r="O104" s="142"/>
      <c r="P104" s="142"/>
      <c r="Q104" s="142"/>
      <c r="R104" s="144"/>
      <c r="S104" s="142"/>
      <c r="T104" s="142"/>
      <c r="U104" s="142"/>
      <c r="V104" s="142"/>
      <c r="W104" s="142"/>
      <c r="X104" s="142"/>
      <c r="Y104" s="142"/>
      <c r="Z104" s="142"/>
      <c r="AA104" s="142"/>
      <c r="AB104" s="142"/>
      <c r="AC104" s="142"/>
      <c r="AD104" s="142"/>
      <c r="AE104" s="142"/>
      <c r="AF104" s="142"/>
      <c r="AG104" s="142"/>
      <c r="AH104" s="142"/>
      <c r="AI104" s="142"/>
    </row>
    <row r="105">
      <c r="A105" s="142"/>
      <c r="B105" s="142"/>
      <c r="C105" s="142"/>
      <c r="D105" s="142"/>
      <c r="E105" s="142"/>
      <c r="F105" s="142"/>
      <c r="G105" s="142"/>
      <c r="H105" s="142"/>
      <c r="I105" s="142"/>
      <c r="J105" s="142"/>
      <c r="K105" s="142"/>
      <c r="L105" s="142"/>
      <c r="M105" s="142"/>
      <c r="N105" s="142"/>
      <c r="O105" s="142"/>
      <c r="P105" s="142"/>
      <c r="Q105" s="142"/>
      <c r="R105" s="144"/>
      <c r="S105" s="142"/>
      <c r="T105" s="142"/>
      <c r="U105" s="142"/>
      <c r="V105" s="142"/>
      <c r="W105" s="142"/>
      <c r="X105" s="142"/>
      <c r="Y105" s="142"/>
      <c r="Z105" s="142"/>
      <c r="AA105" s="142"/>
      <c r="AB105" s="142"/>
      <c r="AC105" s="142"/>
      <c r="AD105" s="142"/>
      <c r="AE105" s="142"/>
      <c r="AF105" s="142"/>
      <c r="AG105" s="142"/>
      <c r="AH105" s="142"/>
      <c r="AI105" s="142"/>
    </row>
    <row r="106">
      <c r="A106" s="142"/>
      <c r="B106" s="142"/>
      <c r="C106" s="142"/>
      <c r="D106" s="142"/>
      <c r="E106" s="142"/>
      <c r="F106" s="142"/>
      <c r="G106" s="142"/>
      <c r="H106" s="142"/>
      <c r="I106" s="142"/>
      <c r="J106" s="142"/>
      <c r="K106" s="142"/>
      <c r="L106" s="142"/>
      <c r="M106" s="142"/>
      <c r="N106" s="142"/>
      <c r="O106" s="142"/>
      <c r="P106" s="142"/>
      <c r="Q106" s="142"/>
      <c r="R106" s="144"/>
      <c r="S106" s="142"/>
      <c r="T106" s="142"/>
      <c r="U106" s="142"/>
      <c r="V106" s="142"/>
      <c r="W106" s="142"/>
      <c r="X106" s="142"/>
      <c r="Y106" s="142"/>
      <c r="Z106" s="142"/>
      <c r="AA106" s="142"/>
      <c r="AB106" s="142"/>
      <c r="AC106" s="142"/>
      <c r="AD106" s="142"/>
      <c r="AE106" s="142"/>
      <c r="AF106" s="142"/>
      <c r="AG106" s="142"/>
      <c r="AH106" s="142"/>
      <c r="AI106" s="142"/>
    </row>
    <row r="107">
      <c r="A107" s="142"/>
      <c r="B107" s="142"/>
      <c r="C107" s="142"/>
      <c r="D107" s="142"/>
      <c r="E107" s="142"/>
      <c r="F107" s="142"/>
      <c r="G107" s="142"/>
      <c r="H107" s="142"/>
      <c r="I107" s="142"/>
      <c r="J107" s="142"/>
      <c r="K107" s="142"/>
      <c r="L107" s="142"/>
      <c r="M107" s="142"/>
      <c r="N107" s="142"/>
      <c r="O107" s="142"/>
      <c r="P107" s="142"/>
      <c r="Q107" s="142"/>
      <c r="R107" s="144"/>
      <c r="S107" s="142"/>
      <c r="T107" s="142"/>
      <c r="U107" s="142"/>
      <c r="V107" s="142"/>
      <c r="W107" s="142"/>
      <c r="X107" s="142"/>
      <c r="Y107" s="142"/>
      <c r="Z107" s="142"/>
      <c r="AA107" s="142"/>
      <c r="AB107" s="142"/>
      <c r="AC107" s="142"/>
      <c r="AD107" s="142"/>
      <c r="AE107" s="142"/>
      <c r="AF107" s="142"/>
      <c r="AG107" s="142"/>
      <c r="AH107" s="142"/>
      <c r="AI107" s="142"/>
    </row>
    <row r="108">
      <c r="A108" s="142"/>
      <c r="B108" s="142"/>
      <c r="C108" s="142"/>
      <c r="D108" s="142"/>
      <c r="E108" s="142"/>
      <c r="F108" s="142"/>
      <c r="G108" s="142"/>
      <c r="H108" s="142"/>
      <c r="I108" s="142"/>
      <c r="J108" s="142"/>
      <c r="K108" s="142"/>
      <c r="L108" s="142"/>
      <c r="M108" s="142"/>
      <c r="N108" s="142"/>
      <c r="O108" s="142"/>
      <c r="P108" s="142"/>
      <c r="Q108" s="142"/>
      <c r="R108" s="144"/>
      <c r="S108" s="142"/>
      <c r="T108" s="142"/>
      <c r="U108" s="142"/>
      <c r="V108" s="142"/>
      <c r="W108" s="142"/>
      <c r="X108" s="142"/>
      <c r="Y108" s="142"/>
      <c r="Z108" s="142"/>
      <c r="AA108" s="142"/>
      <c r="AB108" s="142"/>
      <c r="AC108" s="142"/>
      <c r="AD108" s="142"/>
      <c r="AE108" s="142"/>
      <c r="AF108" s="142"/>
      <c r="AG108" s="142"/>
      <c r="AH108" s="142"/>
      <c r="AI108" s="142"/>
    </row>
    <row r="109">
      <c r="A109" s="142"/>
      <c r="B109" s="142"/>
      <c r="C109" s="142"/>
      <c r="D109" s="142"/>
      <c r="E109" s="142"/>
      <c r="F109" s="142"/>
      <c r="G109" s="142"/>
      <c r="H109" s="142"/>
      <c r="I109" s="142"/>
      <c r="J109" s="142"/>
      <c r="K109" s="142"/>
      <c r="L109" s="142"/>
      <c r="M109" s="142"/>
      <c r="N109" s="142"/>
      <c r="O109" s="142"/>
      <c r="P109" s="142"/>
      <c r="Q109" s="142"/>
      <c r="R109" s="144"/>
      <c r="S109" s="142"/>
      <c r="T109" s="142"/>
      <c r="U109" s="142"/>
      <c r="V109" s="142"/>
      <c r="W109" s="142"/>
      <c r="X109" s="142"/>
      <c r="Y109" s="142"/>
      <c r="Z109" s="142"/>
      <c r="AA109" s="142"/>
      <c r="AB109" s="142"/>
      <c r="AC109" s="142"/>
      <c r="AD109" s="142"/>
      <c r="AE109" s="142"/>
      <c r="AF109" s="142"/>
      <c r="AG109" s="142"/>
      <c r="AH109" s="142"/>
      <c r="AI109" s="142"/>
    </row>
    <row r="110">
      <c r="A110" s="142"/>
      <c r="B110" s="142"/>
      <c r="C110" s="142"/>
      <c r="D110" s="142"/>
      <c r="E110" s="142"/>
      <c r="F110" s="142"/>
      <c r="G110" s="142"/>
      <c r="H110" s="142"/>
      <c r="I110" s="142"/>
      <c r="J110" s="142"/>
      <c r="K110" s="142"/>
      <c r="L110" s="142"/>
      <c r="M110" s="142"/>
      <c r="N110" s="142"/>
      <c r="O110" s="142"/>
      <c r="P110" s="142"/>
      <c r="Q110" s="142"/>
      <c r="R110" s="144"/>
      <c r="S110" s="142"/>
      <c r="T110" s="142"/>
      <c r="U110" s="142"/>
      <c r="V110" s="142"/>
      <c r="W110" s="142"/>
      <c r="X110" s="142"/>
      <c r="Y110" s="142"/>
      <c r="Z110" s="142"/>
      <c r="AA110" s="142"/>
      <c r="AB110" s="142"/>
      <c r="AC110" s="142"/>
      <c r="AD110" s="142"/>
      <c r="AE110" s="142"/>
      <c r="AF110" s="142"/>
      <c r="AG110" s="142"/>
      <c r="AH110" s="142"/>
      <c r="AI110" s="142"/>
    </row>
    <row r="111">
      <c r="A111" s="142"/>
      <c r="B111" s="142"/>
      <c r="C111" s="142"/>
      <c r="D111" s="142"/>
      <c r="E111" s="142"/>
      <c r="F111" s="142"/>
      <c r="G111" s="142"/>
      <c r="H111" s="142"/>
      <c r="I111" s="142"/>
      <c r="J111" s="142"/>
      <c r="K111" s="142"/>
      <c r="L111" s="142"/>
      <c r="M111" s="142"/>
      <c r="N111" s="142"/>
      <c r="O111" s="142"/>
      <c r="P111" s="142"/>
      <c r="Q111" s="142"/>
      <c r="R111" s="144"/>
      <c r="S111" s="142"/>
      <c r="T111" s="142"/>
      <c r="U111" s="142"/>
      <c r="V111" s="142"/>
      <c r="W111" s="142"/>
      <c r="X111" s="142"/>
      <c r="Y111" s="142"/>
      <c r="Z111" s="142"/>
      <c r="AA111" s="142"/>
      <c r="AB111" s="142"/>
      <c r="AC111" s="142"/>
      <c r="AD111" s="142"/>
      <c r="AE111" s="142"/>
      <c r="AF111" s="142"/>
      <c r="AG111" s="142"/>
      <c r="AH111" s="142"/>
      <c r="AI111" s="142"/>
    </row>
    <row r="112">
      <c r="A112" s="142"/>
      <c r="B112" s="142"/>
      <c r="C112" s="142"/>
      <c r="D112" s="142"/>
      <c r="E112" s="142"/>
      <c r="F112" s="142"/>
      <c r="G112" s="142"/>
      <c r="H112" s="142"/>
      <c r="I112" s="142"/>
      <c r="J112" s="142"/>
      <c r="K112" s="142"/>
      <c r="L112" s="142"/>
      <c r="M112" s="142"/>
      <c r="N112" s="142"/>
      <c r="O112" s="142"/>
      <c r="P112" s="142"/>
      <c r="Q112" s="142"/>
      <c r="R112" s="144"/>
      <c r="S112" s="142"/>
      <c r="T112" s="142"/>
      <c r="U112" s="142"/>
      <c r="V112" s="142"/>
      <c r="W112" s="142"/>
      <c r="X112" s="142"/>
      <c r="Y112" s="142"/>
      <c r="Z112" s="142"/>
      <c r="AA112" s="142"/>
      <c r="AB112" s="142"/>
      <c r="AC112" s="142"/>
      <c r="AD112" s="142"/>
      <c r="AE112" s="142"/>
      <c r="AF112" s="142"/>
      <c r="AG112" s="142"/>
      <c r="AH112" s="142"/>
      <c r="AI112" s="142"/>
    </row>
    <row r="113">
      <c r="A113" s="142"/>
      <c r="B113" s="142"/>
      <c r="C113" s="142"/>
      <c r="D113" s="142"/>
      <c r="E113" s="142"/>
      <c r="F113" s="142"/>
      <c r="G113" s="142"/>
      <c r="H113" s="142"/>
      <c r="I113" s="142"/>
      <c r="J113" s="142"/>
      <c r="K113" s="142"/>
      <c r="L113" s="142"/>
      <c r="M113" s="142"/>
      <c r="N113" s="142"/>
      <c r="O113" s="142"/>
      <c r="P113" s="142"/>
      <c r="Q113" s="142"/>
      <c r="R113" s="144"/>
      <c r="S113" s="142"/>
      <c r="T113" s="142"/>
      <c r="U113" s="142"/>
      <c r="V113" s="142"/>
      <c r="W113" s="142"/>
      <c r="X113" s="142"/>
      <c r="Y113" s="142"/>
      <c r="Z113" s="142"/>
      <c r="AA113" s="142"/>
      <c r="AB113" s="142"/>
      <c r="AC113" s="142"/>
      <c r="AD113" s="142"/>
      <c r="AE113" s="142"/>
      <c r="AF113" s="142"/>
      <c r="AG113" s="142"/>
      <c r="AH113" s="142"/>
      <c r="AI113" s="142"/>
    </row>
    <row r="114">
      <c r="A114" s="142"/>
      <c r="B114" s="142"/>
      <c r="C114" s="142"/>
      <c r="D114" s="142"/>
      <c r="E114" s="142"/>
      <c r="F114" s="142"/>
      <c r="G114" s="142"/>
      <c r="H114" s="142"/>
      <c r="I114" s="142"/>
      <c r="J114" s="142"/>
      <c r="K114" s="142"/>
      <c r="L114" s="142"/>
      <c r="M114" s="142"/>
      <c r="N114" s="142"/>
      <c r="O114" s="142"/>
      <c r="P114" s="142"/>
      <c r="Q114" s="142"/>
      <c r="R114" s="144"/>
      <c r="S114" s="142"/>
      <c r="T114" s="142"/>
      <c r="U114" s="142"/>
      <c r="V114" s="142"/>
      <c r="W114" s="142"/>
      <c r="X114" s="142"/>
      <c r="Y114" s="142"/>
      <c r="Z114" s="142"/>
      <c r="AA114" s="142"/>
      <c r="AB114" s="142"/>
      <c r="AC114" s="142"/>
      <c r="AD114" s="142"/>
      <c r="AE114" s="142"/>
      <c r="AF114" s="142"/>
      <c r="AG114" s="142"/>
      <c r="AH114" s="142"/>
      <c r="AI114" s="142"/>
    </row>
    <row r="115">
      <c r="A115" s="142"/>
      <c r="B115" s="142"/>
      <c r="C115" s="142"/>
      <c r="D115" s="142"/>
      <c r="E115" s="142"/>
      <c r="F115" s="142"/>
      <c r="G115" s="142"/>
      <c r="H115" s="142"/>
      <c r="I115" s="142"/>
      <c r="J115" s="142"/>
      <c r="K115" s="142"/>
      <c r="L115" s="142"/>
      <c r="M115" s="142"/>
      <c r="N115" s="142"/>
      <c r="O115" s="142"/>
      <c r="P115" s="142"/>
      <c r="Q115" s="142"/>
      <c r="R115" s="144"/>
      <c r="S115" s="142"/>
      <c r="T115" s="142"/>
      <c r="U115" s="142"/>
      <c r="V115" s="142"/>
      <c r="W115" s="142"/>
      <c r="X115" s="142"/>
      <c r="Y115" s="142"/>
      <c r="Z115" s="142"/>
      <c r="AA115" s="142"/>
      <c r="AB115" s="142"/>
      <c r="AC115" s="142"/>
      <c r="AD115" s="142"/>
      <c r="AE115" s="142"/>
      <c r="AF115" s="142"/>
      <c r="AG115" s="142"/>
      <c r="AH115" s="142"/>
      <c r="AI115" s="142"/>
    </row>
    <row r="116">
      <c r="A116" s="142"/>
      <c r="B116" s="142"/>
      <c r="C116" s="142"/>
      <c r="D116" s="142"/>
      <c r="E116" s="142"/>
      <c r="F116" s="142"/>
      <c r="G116" s="142"/>
      <c r="H116" s="142"/>
      <c r="I116" s="142"/>
      <c r="J116" s="142"/>
      <c r="K116" s="142"/>
      <c r="L116" s="142"/>
      <c r="M116" s="142"/>
      <c r="N116" s="142"/>
      <c r="O116" s="142"/>
      <c r="P116" s="142"/>
      <c r="Q116" s="142"/>
      <c r="R116" s="144"/>
      <c r="S116" s="142"/>
      <c r="T116" s="142"/>
      <c r="U116" s="142"/>
      <c r="V116" s="142"/>
      <c r="W116" s="142"/>
      <c r="X116" s="142"/>
      <c r="Y116" s="142"/>
      <c r="Z116" s="142"/>
      <c r="AA116" s="142"/>
      <c r="AB116" s="142"/>
      <c r="AC116" s="142"/>
      <c r="AD116" s="142"/>
      <c r="AE116" s="142"/>
      <c r="AF116" s="142"/>
      <c r="AG116" s="142"/>
      <c r="AH116" s="142"/>
      <c r="AI116" s="142"/>
    </row>
    <row r="117">
      <c r="A117" s="142"/>
      <c r="B117" s="142"/>
      <c r="C117" s="142"/>
      <c r="D117" s="142"/>
      <c r="E117" s="142"/>
      <c r="F117" s="142"/>
      <c r="G117" s="142"/>
      <c r="H117" s="142"/>
      <c r="I117" s="142"/>
      <c r="J117" s="142"/>
      <c r="K117" s="142"/>
      <c r="L117" s="142"/>
      <c r="M117" s="142"/>
      <c r="N117" s="142"/>
      <c r="O117" s="142"/>
      <c r="P117" s="142"/>
      <c r="Q117" s="142"/>
      <c r="R117" s="144"/>
      <c r="S117" s="142"/>
      <c r="T117" s="142"/>
      <c r="U117" s="142"/>
      <c r="V117" s="142"/>
      <c r="W117" s="142"/>
      <c r="X117" s="142"/>
      <c r="Y117" s="142"/>
      <c r="Z117" s="142"/>
      <c r="AA117" s="142"/>
      <c r="AB117" s="142"/>
      <c r="AC117" s="142"/>
      <c r="AD117" s="142"/>
      <c r="AE117" s="142"/>
      <c r="AF117" s="142"/>
      <c r="AG117" s="142"/>
      <c r="AH117" s="142"/>
      <c r="AI117" s="142"/>
    </row>
    <row r="118">
      <c r="A118" s="142"/>
      <c r="B118" s="142"/>
      <c r="C118" s="142"/>
      <c r="D118" s="142"/>
      <c r="E118" s="142"/>
      <c r="F118" s="142"/>
      <c r="G118" s="142"/>
      <c r="H118" s="142"/>
      <c r="I118" s="142"/>
      <c r="J118" s="142"/>
      <c r="K118" s="142"/>
      <c r="L118" s="142"/>
      <c r="M118" s="142"/>
      <c r="N118" s="142"/>
      <c r="O118" s="142"/>
      <c r="P118" s="142"/>
      <c r="Q118" s="142"/>
      <c r="R118" s="144"/>
      <c r="S118" s="142"/>
      <c r="T118" s="142"/>
      <c r="U118" s="142"/>
      <c r="V118" s="142"/>
      <c r="W118" s="142"/>
      <c r="X118" s="142"/>
      <c r="Y118" s="142"/>
      <c r="Z118" s="142"/>
      <c r="AA118" s="142"/>
      <c r="AB118" s="142"/>
      <c r="AC118" s="142"/>
      <c r="AD118" s="142"/>
      <c r="AE118" s="142"/>
      <c r="AF118" s="142"/>
      <c r="AG118" s="142"/>
      <c r="AH118" s="142"/>
      <c r="AI118" s="142"/>
    </row>
    <row r="119">
      <c r="A119" s="142"/>
      <c r="B119" s="142"/>
      <c r="C119" s="142"/>
      <c r="D119" s="142"/>
      <c r="E119" s="142"/>
      <c r="F119" s="142"/>
      <c r="G119" s="142"/>
      <c r="H119" s="142"/>
      <c r="I119" s="142"/>
      <c r="J119" s="142"/>
      <c r="K119" s="142"/>
      <c r="L119" s="142"/>
      <c r="M119" s="142"/>
      <c r="N119" s="142"/>
      <c r="O119" s="142"/>
      <c r="P119" s="142"/>
      <c r="Q119" s="142"/>
      <c r="R119" s="144"/>
      <c r="S119" s="142"/>
      <c r="T119" s="142"/>
      <c r="U119" s="142"/>
      <c r="V119" s="142"/>
      <c r="W119" s="142"/>
      <c r="X119" s="142"/>
      <c r="Y119" s="142"/>
      <c r="Z119" s="142"/>
      <c r="AA119" s="142"/>
      <c r="AB119" s="142"/>
      <c r="AC119" s="142"/>
      <c r="AD119" s="142"/>
      <c r="AE119" s="142"/>
      <c r="AF119" s="142"/>
      <c r="AG119" s="142"/>
      <c r="AH119" s="142"/>
      <c r="AI119" s="142"/>
    </row>
    <row r="120">
      <c r="A120" s="142"/>
      <c r="B120" s="142"/>
      <c r="C120" s="142"/>
      <c r="D120" s="142"/>
      <c r="E120" s="142"/>
      <c r="F120" s="142"/>
      <c r="G120" s="142"/>
      <c r="H120" s="142"/>
      <c r="I120" s="142"/>
      <c r="J120" s="142"/>
      <c r="K120" s="142"/>
      <c r="L120" s="142"/>
      <c r="M120" s="142"/>
      <c r="N120" s="142"/>
      <c r="O120" s="142"/>
      <c r="P120" s="142"/>
      <c r="Q120" s="142"/>
      <c r="R120" s="144"/>
      <c r="S120" s="142"/>
      <c r="T120" s="142"/>
      <c r="U120" s="142"/>
      <c r="V120" s="142"/>
      <c r="W120" s="142"/>
      <c r="X120" s="142"/>
      <c r="Y120" s="142"/>
      <c r="Z120" s="142"/>
      <c r="AA120" s="142"/>
      <c r="AB120" s="142"/>
      <c r="AC120" s="142"/>
      <c r="AD120" s="142"/>
      <c r="AE120" s="142"/>
      <c r="AF120" s="142"/>
      <c r="AG120" s="142"/>
      <c r="AH120" s="142"/>
      <c r="AI120" s="142"/>
    </row>
    <row r="121">
      <c r="A121" s="142"/>
      <c r="B121" s="142"/>
      <c r="C121" s="142"/>
      <c r="D121" s="142"/>
      <c r="E121" s="142"/>
      <c r="F121" s="142"/>
      <c r="G121" s="142"/>
      <c r="H121" s="142"/>
      <c r="I121" s="142"/>
      <c r="J121" s="142"/>
      <c r="K121" s="142"/>
      <c r="L121" s="142"/>
      <c r="M121" s="142"/>
      <c r="N121" s="142"/>
      <c r="O121" s="142"/>
      <c r="P121" s="142"/>
      <c r="Q121" s="142"/>
      <c r="R121" s="144"/>
      <c r="S121" s="142"/>
      <c r="T121" s="142"/>
      <c r="U121" s="142"/>
      <c r="V121" s="142"/>
      <c r="W121" s="142"/>
      <c r="X121" s="142"/>
      <c r="Y121" s="142"/>
      <c r="Z121" s="142"/>
      <c r="AA121" s="142"/>
      <c r="AB121" s="142"/>
      <c r="AC121" s="142"/>
      <c r="AD121" s="142"/>
      <c r="AE121" s="142"/>
      <c r="AF121" s="142"/>
      <c r="AG121" s="142"/>
      <c r="AH121" s="142"/>
      <c r="AI121" s="142"/>
    </row>
    <row r="122">
      <c r="A122" s="142"/>
      <c r="B122" s="142"/>
      <c r="C122" s="142"/>
      <c r="D122" s="142"/>
      <c r="E122" s="142"/>
      <c r="F122" s="142"/>
      <c r="G122" s="142"/>
      <c r="H122" s="142"/>
      <c r="I122" s="142"/>
      <c r="J122" s="142"/>
      <c r="K122" s="142"/>
      <c r="L122" s="142"/>
      <c r="M122" s="142"/>
      <c r="N122" s="142"/>
      <c r="O122" s="142"/>
      <c r="P122" s="142"/>
      <c r="Q122" s="142"/>
      <c r="R122" s="144"/>
      <c r="S122" s="142"/>
      <c r="T122" s="142"/>
      <c r="U122" s="142"/>
      <c r="V122" s="142"/>
      <c r="W122" s="142"/>
      <c r="X122" s="142"/>
      <c r="Y122" s="142"/>
      <c r="Z122" s="142"/>
      <c r="AA122" s="142"/>
      <c r="AB122" s="142"/>
      <c r="AC122" s="142"/>
      <c r="AD122" s="142"/>
      <c r="AE122" s="142"/>
      <c r="AF122" s="142"/>
      <c r="AG122" s="142"/>
      <c r="AH122" s="142"/>
      <c r="AI122" s="142"/>
    </row>
    <row r="123">
      <c r="A123" s="142"/>
      <c r="B123" s="142"/>
      <c r="C123" s="142"/>
      <c r="D123" s="142"/>
      <c r="E123" s="142"/>
      <c r="F123" s="142"/>
      <c r="G123" s="142"/>
      <c r="H123" s="142"/>
      <c r="I123" s="142"/>
      <c r="J123" s="142"/>
      <c r="K123" s="142"/>
      <c r="L123" s="142"/>
      <c r="M123" s="142"/>
      <c r="N123" s="142"/>
      <c r="O123" s="142"/>
      <c r="P123" s="142"/>
      <c r="Q123" s="142"/>
      <c r="R123" s="144"/>
      <c r="S123" s="142"/>
      <c r="T123" s="142"/>
      <c r="U123" s="142"/>
      <c r="V123" s="142"/>
      <c r="W123" s="142"/>
      <c r="X123" s="142"/>
      <c r="Y123" s="142"/>
      <c r="Z123" s="142"/>
      <c r="AA123" s="142"/>
      <c r="AB123" s="142"/>
      <c r="AC123" s="142"/>
      <c r="AD123" s="142"/>
      <c r="AE123" s="142"/>
      <c r="AF123" s="142"/>
      <c r="AG123" s="142"/>
      <c r="AH123" s="142"/>
      <c r="AI123" s="142"/>
    </row>
    <row r="124">
      <c r="A124" s="142"/>
      <c r="B124" s="142"/>
      <c r="C124" s="142"/>
      <c r="D124" s="142"/>
      <c r="E124" s="142"/>
      <c r="F124" s="142"/>
      <c r="G124" s="142"/>
      <c r="H124" s="142"/>
      <c r="I124" s="142"/>
      <c r="J124" s="142"/>
      <c r="K124" s="142"/>
      <c r="L124" s="142"/>
      <c r="M124" s="142"/>
      <c r="N124" s="142"/>
      <c r="O124" s="142"/>
      <c r="P124" s="142"/>
      <c r="Q124" s="142"/>
      <c r="R124" s="144"/>
      <c r="S124" s="142"/>
      <c r="T124" s="142"/>
      <c r="U124" s="142"/>
      <c r="V124" s="142"/>
      <c r="W124" s="142"/>
      <c r="X124" s="142"/>
      <c r="Y124" s="142"/>
      <c r="Z124" s="142"/>
      <c r="AA124" s="142"/>
      <c r="AB124" s="142"/>
      <c r="AC124" s="142"/>
      <c r="AD124" s="142"/>
      <c r="AE124" s="142"/>
      <c r="AF124" s="142"/>
      <c r="AG124" s="142"/>
      <c r="AH124" s="142"/>
      <c r="AI124" s="142"/>
    </row>
    <row r="125">
      <c r="A125" s="142"/>
      <c r="B125" s="142"/>
      <c r="C125" s="142"/>
      <c r="D125" s="142"/>
      <c r="E125" s="142"/>
      <c r="F125" s="142"/>
      <c r="G125" s="142"/>
      <c r="H125" s="142"/>
      <c r="I125" s="142"/>
      <c r="J125" s="142"/>
      <c r="K125" s="142"/>
      <c r="L125" s="142"/>
      <c r="M125" s="142"/>
      <c r="N125" s="142"/>
      <c r="O125" s="142"/>
      <c r="P125" s="142"/>
      <c r="Q125" s="142"/>
      <c r="R125" s="144"/>
      <c r="S125" s="142"/>
      <c r="T125" s="142"/>
      <c r="U125" s="142"/>
      <c r="V125" s="142"/>
      <c r="W125" s="142"/>
      <c r="X125" s="142"/>
      <c r="Y125" s="142"/>
      <c r="Z125" s="142"/>
      <c r="AA125" s="142"/>
      <c r="AB125" s="142"/>
      <c r="AC125" s="142"/>
      <c r="AD125" s="142"/>
      <c r="AE125" s="142"/>
      <c r="AF125" s="142"/>
      <c r="AG125" s="142"/>
      <c r="AH125" s="142"/>
      <c r="AI125" s="142"/>
    </row>
    <row r="126">
      <c r="A126" s="142"/>
      <c r="B126" s="142"/>
      <c r="C126" s="142"/>
      <c r="D126" s="142"/>
      <c r="E126" s="142"/>
      <c r="F126" s="142"/>
      <c r="G126" s="142"/>
      <c r="H126" s="142"/>
      <c r="I126" s="142"/>
      <c r="J126" s="142"/>
      <c r="K126" s="142"/>
      <c r="L126" s="142"/>
      <c r="M126" s="142"/>
      <c r="N126" s="142"/>
      <c r="O126" s="142"/>
      <c r="P126" s="142"/>
      <c r="Q126" s="142"/>
      <c r="R126" s="144"/>
      <c r="S126" s="142"/>
      <c r="T126" s="142"/>
      <c r="U126" s="142"/>
      <c r="V126" s="142"/>
      <c r="W126" s="142"/>
      <c r="X126" s="142"/>
      <c r="Y126" s="142"/>
      <c r="Z126" s="142"/>
      <c r="AA126" s="142"/>
      <c r="AB126" s="142"/>
      <c r="AC126" s="142"/>
      <c r="AD126" s="142"/>
      <c r="AE126" s="142"/>
      <c r="AF126" s="142"/>
      <c r="AG126" s="142"/>
      <c r="AH126" s="142"/>
      <c r="AI126" s="142"/>
    </row>
    <row r="127">
      <c r="A127" s="142"/>
      <c r="B127" s="142"/>
      <c r="C127" s="142"/>
      <c r="D127" s="142"/>
      <c r="E127" s="142"/>
      <c r="F127" s="142"/>
      <c r="G127" s="142"/>
      <c r="H127" s="142"/>
      <c r="I127" s="142"/>
      <c r="J127" s="142"/>
      <c r="K127" s="142"/>
      <c r="L127" s="142"/>
      <c r="M127" s="142"/>
      <c r="N127" s="142"/>
      <c r="O127" s="142"/>
      <c r="P127" s="142"/>
      <c r="Q127" s="142"/>
      <c r="R127" s="144"/>
      <c r="S127" s="142"/>
      <c r="T127" s="142"/>
      <c r="U127" s="142"/>
      <c r="V127" s="142"/>
      <c r="W127" s="142"/>
      <c r="X127" s="142"/>
      <c r="Y127" s="142"/>
      <c r="Z127" s="142"/>
      <c r="AA127" s="142"/>
      <c r="AB127" s="142"/>
      <c r="AC127" s="142"/>
      <c r="AD127" s="142"/>
      <c r="AE127" s="142"/>
      <c r="AF127" s="142"/>
      <c r="AG127" s="142"/>
      <c r="AH127" s="142"/>
      <c r="AI127" s="142"/>
    </row>
    <row r="128">
      <c r="A128" s="142"/>
      <c r="B128" s="142"/>
      <c r="C128" s="142"/>
      <c r="D128" s="142"/>
      <c r="E128" s="142"/>
      <c r="F128" s="142"/>
      <c r="G128" s="142"/>
      <c r="H128" s="142"/>
      <c r="I128" s="142"/>
      <c r="J128" s="142"/>
      <c r="K128" s="142"/>
      <c r="L128" s="142"/>
      <c r="M128" s="142"/>
      <c r="N128" s="142"/>
      <c r="O128" s="142"/>
      <c r="P128" s="142"/>
      <c r="Q128" s="142"/>
      <c r="R128" s="144"/>
      <c r="S128" s="142"/>
      <c r="T128" s="142"/>
      <c r="U128" s="142"/>
      <c r="V128" s="142"/>
      <c r="W128" s="142"/>
      <c r="X128" s="142"/>
      <c r="Y128" s="142"/>
      <c r="Z128" s="142"/>
      <c r="AA128" s="142"/>
      <c r="AB128" s="142"/>
      <c r="AC128" s="142"/>
      <c r="AD128" s="142"/>
      <c r="AE128" s="142"/>
      <c r="AF128" s="142"/>
      <c r="AG128" s="142"/>
      <c r="AH128" s="142"/>
      <c r="AI128" s="142"/>
    </row>
    <row r="129">
      <c r="A129" s="142"/>
      <c r="B129" s="142"/>
      <c r="C129" s="142"/>
      <c r="D129" s="142"/>
      <c r="E129" s="142"/>
      <c r="F129" s="142"/>
      <c r="G129" s="142"/>
      <c r="H129" s="142"/>
      <c r="I129" s="142"/>
      <c r="J129" s="142"/>
      <c r="K129" s="142"/>
      <c r="L129" s="142"/>
      <c r="M129" s="142"/>
      <c r="N129" s="142"/>
      <c r="O129" s="142"/>
      <c r="P129" s="142"/>
      <c r="Q129" s="142"/>
      <c r="R129" s="144"/>
      <c r="S129" s="142"/>
      <c r="T129" s="142"/>
      <c r="U129" s="142"/>
      <c r="V129" s="142"/>
      <c r="W129" s="142"/>
      <c r="X129" s="142"/>
      <c r="Y129" s="142"/>
      <c r="Z129" s="142"/>
      <c r="AA129" s="142"/>
      <c r="AB129" s="142"/>
      <c r="AC129" s="142"/>
      <c r="AD129" s="142"/>
      <c r="AE129" s="142"/>
      <c r="AF129" s="142"/>
      <c r="AG129" s="142"/>
      <c r="AH129" s="142"/>
      <c r="AI129" s="142"/>
    </row>
    <row r="130">
      <c r="A130" s="142"/>
      <c r="B130" s="142"/>
      <c r="C130" s="142"/>
      <c r="D130" s="142"/>
      <c r="E130" s="142"/>
      <c r="F130" s="142"/>
      <c r="G130" s="142"/>
      <c r="H130" s="142"/>
      <c r="I130" s="142"/>
      <c r="J130" s="142"/>
      <c r="K130" s="142"/>
      <c r="L130" s="142"/>
      <c r="M130" s="142"/>
      <c r="N130" s="142"/>
      <c r="O130" s="142"/>
      <c r="P130" s="142"/>
      <c r="Q130" s="142"/>
      <c r="R130" s="144"/>
      <c r="S130" s="142"/>
      <c r="T130" s="142"/>
      <c r="U130" s="142"/>
      <c r="V130" s="142"/>
      <c r="W130" s="142"/>
      <c r="X130" s="142"/>
      <c r="Y130" s="142"/>
      <c r="Z130" s="142"/>
      <c r="AA130" s="142"/>
      <c r="AB130" s="142"/>
      <c r="AC130" s="142"/>
      <c r="AD130" s="142"/>
      <c r="AE130" s="142"/>
      <c r="AF130" s="142"/>
      <c r="AG130" s="142"/>
      <c r="AH130" s="142"/>
      <c r="AI130" s="142"/>
    </row>
    <row r="131">
      <c r="A131" s="142"/>
      <c r="B131" s="142"/>
      <c r="C131" s="142"/>
      <c r="D131" s="142"/>
      <c r="E131" s="142"/>
      <c r="F131" s="142"/>
      <c r="G131" s="142"/>
      <c r="H131" s="142"/>
      <c r="I131" s="142"/>
      <c r="J131" s="142"/>
      <c r="K131" s="142"/>
      <c r="L131" s="142"/>
      <c r="M131" s="142"/>
      <c r="N131" s="142"/>
      <c r="O131" s="142"/>
      <c r="P131" s="142"/>
      <c r="Q131" s="142"/>
      <c r="R131" s="144"/>
      <c r="S131" s="142"/>
      <c r="T131" s="142"/>
      <c r="U131" s="142"/>
      <c r="V131" s="142"/>
      <c r="W131" s="142"/>
      <c r="X131" s="142"/>
      <c r="Y131" s="142"/>
      <c r="Z131" s="142"/>
      <c r="AA131" s="142"/>
      <c r="AB131" s="142"/>
      <c r="AC131" s="142"/>
      <c r="AD131" s="142"/>
      <c r="AE131" s="142"/>
      <c r="AF131" s="142"/>
      <c r="AG131" s="142"/>
      <c r="AH131" s="142"/>
      <c r="AI131" s="142"/>
    </row>
    <row r="132">
      <c r="A132" s="142"/>
      <c r="B132" s="142"/>
      <c r="C132" s="142"/>
      <c r="D132" s="142"/>
      <c r="E132" s="142"/>
      <c r="F132" s="142"/>
      <c r="G132" s="142"/>
      <c r="H132" s="142"/>
      <c r="I132" s="142"/>
      <c r="J132" s="142"/>
      <c r="K132" s="142"/>
      <c r="L132" s="142"/>
      <c r="M132" s="142"/>
      <c r="N132" s="142"/>
      <c r="O132" s="142"/>
      <c r="P132" s="142"/>
      <c r="Q132" s="142"/>
      <c r="R132" s="144"/>
      <c r="S132" s="142"/>
      <c r="T132" s="142"/>
      <c r="U132" s="142"/>
      <c r="V132" s="142"/>
      <c r="W132" s="142"/>
      <c r="X132" s="142"/>
      <c r="Y132" s="142"/>
      <c r="Z132" s="142"/>
      <c r="AA132" s="142"/>
      <c r="AB132" s="142"/>
      <c r="AC132" s="142"/>
      <c r="AD132" s="142"/>
      <c r="AE132" s="142"/>
      <c r="AF132" s="142"/>
      <c r="AG132" s="142"/>
      <c r="AH132" s="142"/>
      <c r="AI132" s="142"/>
    </row>
    <row r="133">
      <c r="A133" s="142"/>
      <c r="B133" s="142"/>
      <c r="C133" s="142"/>
      <c r="D133" s="142"/>
      <c r="E133" s="142"/>
      <c r="F133" s="142"/>
      <c r="G133" s="142"/>
      <c r="H133" s="142"/>
      <c r="I133" s="142"/>
      <c r="J133" s="142"/>
      <c r="K133" s="142"/>
      <c r="L133" s="142"/>
      <c r="M133" s="142"/>
      <c r="N133" s="142"/>
      <c r="O133" s="142"/>
      <c r="P133" s="142"/>
      <c r="Q133" s="142"/>
      <c r="R133" s="144"/>
      <c r="S133" s="142"/>
      <c r="T133" s="142"/>
      <c r="U133" s="142"/>
      <c r="V133" s="142"/>
      <c r="W133" s="142"/>
      <c r="X133" s="142"/>
      <c r="Y133" s="142"/>
      <c r="Z133" s="142"/>
      <c r="AA133" s="142"/>
      <c r="AB133" s="142"/>
      <c r="AC133" s="142"/>
      <c r="AD133" s="142"/>
      <c r="AE133" s="142"/>
      <c r="AF133" s="142"/>
      <c r="AG133" s="142"/>
      <c r="AH133" s="142"/>
      <c r="AI133" s="142"/>
    </row>
    <row r="134">
      <c r="A134" s="142"/>
      <c r="B134" s="142"/>
      <c r="C134" s="142"/>
      <c r="D134" s="142"/>
      <c r="E134" s="142"/>
      <c r="F134" s="142"/>
      <c r="G134" s="142"/>
      <c r="H134" s="142"/>
      <c r="I134" s="142"/>
      <c r="J134" s="142"/>
      <c r="K134" s="142"/>
      <c r="L134" s="142"/>
      <c r="M134" s="142"/>
      <c r="N134" s="142"/>
      <c r="O134" s="142"/>
      <c r="P134" s="142"/>
      <c r="Q134" s="142"/>
      <c r="R134" s="144"/>
      <c r="S134" s="142"/>
      <c r="T134" s="142"/>
      <c r="U134" s="142"/>
      <c r="V134" s="142"/>
      <c r="W134" s="142"/>
      <c r="X134" s="142"/>
      <c r="Y134" s="142"/>
      <c r="Z134" s="142"/>
      <c r="AA134" s="142"/>
      <c r="AB134" s="142"/>
      <c r="AC134" s="142"/>
      <c r="AD134" s="142"/>
      <c r="AE134" s="142"/>
      <c r="AF134" s="142"/>
      <c r="AG134" s="142"/>
      <c r="AH134" s="142"/>
      <c r="AI134" s="142"/>
    </row>
    <row r="135">
      <c r="A135" s="142"/>
      <c r="B135" s="142"/>
      <c r="C135" s="142"/>
      <c r="D135" s="142"/>
      <c r="E135" s="142"/>
      <c r="F135" s="142"/>
      <c r="G135" s="142"/>
      <c r="H135" s="142"/>
      <c r="I135" s="142"/>
      <c r="J135" s="142"/>
      <c r="K135" s="142"/>
      <c r="L135" s="142"/>
      <c r="M135" s="142"/>
      <c r="N135" s="142"/>
      <c r="O135" s="142"/>
      <c r="P135" s="142"/>
      <c r="Q135" s="142"/>
      <c r="R135" s="144"/>
      <c r="S135" s="142"/>
      <c r="T135" s="142"/>
      <c r="U135" s="142"/>
      <c r="V135" s="142"/>
      <c r="W135" s="142"/>
      <c r="X135" s="142"/>
      <c r="Y135" s="142"/>
      <c r="Z135" s="142"/>
      <c r="AA135" s="142"/>
      <c r="AB135" s="142"/>
      <c r="AC135" s="142"/>
      <c r="AD135" s="142"/>
      <c r="AE135" s="142"/>
      <c r="AF135" s="142"/>
      <c r="AG135" s="142"/>
      <c r="AH135" s="142"/>
      <c r="AI135" s="142"/>
    </row>
    <row r="136">
      <c r="A136" s="142"/>
      <c r="B136" s="142"/>
      <c r="C136" s="142"/>
      <c r="D136" s="142"/>
      <c r="E136" s="142"/>
      <c r="F136" s="142"/>
      <c r="G136" s="142"/>
      <c r="H136" s="142"/>
      <c r="I136" s="142"/>
      <c r="J136" s="142"/>
      <c r="K136" s="142"/>
      <c r="L136" s="142"/>
      <c r="M136" s="142"/>
      <c r="N136" s="142"/>
      <c r="O136" s="142"/>
      <c r="P136" s="142"/>
      <c r="Q136" s="142"/>
      <c r="R136" s="144"/>
      <c r="S136" s="142"/>
      <c r="T136" s="142"/>
      <c r="U136" s="142"/>
      <c r="V136" s="142"/>
      <c r="W136" s="142"/>
      <c r="X136" s="142"/>
      <c r="Y136" s="142"/>
      <c r="Z136" s="142"/>
      <c r="AA136" s="142"/>
      <c r="AB136" s="142"/>
      <c r="AC136" s="142"/>
      <c r="AD136" s="142"/>
      <c r="AE136" s="142"/>
      <c r="AF136" s="142"/>
      <c r="AG136" s="142"/>
      <c r="AH136" s="142"/>
      <c r="AI136" s="142"/>
    </row>
    <row r="137">
      <c r="A137" s="142"/>
      <c r="B137" s="142"/>
      <c r="C137" s="142"/>
      <c r="D137" s="142"/>
      <c r="E137" s="142"/>
      <c r="F137" s="142"/>
      <c r="G137" s="142"/>
      <c r="H137" s="142"/>
      <c r="I137" s="142"/>
      <c r="J137" s="142"/>
      <c r="K137" s="142"/>
      <c r="L137" s="142"/>
      <c r="M137" s="142"/>
      <c r="N137" s="142"/>
      <c r="O137" s="142"/>
      <c r="P137" s="142"/>
      <c r="Q137" s="142"/>
      <c r="R137" s="144"/>
      <c r="S137" s="142"/>
      <c r="T137" s="142"/>
      <c r="U137" s="142"/>
      <c r="V137" s="142"/>
      <c r="W137" s="142"/>
      <c r="X137" s="142"/>
      <c r="Y137" s="142"/>
      <c r="Z137" s="142"/>
      <c r="AA137" s="142"/>
      <c r="AB137" s="142"/>
      <c r="AC137" s="142"/>
      <c r="AD137" s="142"/>
      <c r="AE137" s="142"/>
      <c r="AF137" s="142"/>
      <c r="AG137" s="142"/>
      <c r="AH137" s="142"/>
      <c r="AI137" s="142"/>
    </row>
    <row r="138">
      <c r="A138" s="142"/>
      <c r="B138" s="142"/>
      <c r="C138" s="142"/>
      <c r="D138" s="142"/>
      <c r="E138" s="142"/>
      <c r="F138" s="142"/>
      <c r="G138" s="142"/>
      <c r="H138" s="142"/>
      <c r="I138" s="142"/>
      <c r="J138" s="142"/>
      <c r="K138" s="142"/>
      <c r="L138" s="142"/>
      <c r="M138" s="142"/>
      <c r="N138" s="142"/>
      <c r="O138" s="142"/>
      <c r="P138" s="142"/>
      <c r="Q138" s="142"/>
      <c r="R138" s="144"/>
      <c r="S138" s="142"/>
      <c r="T138" s="142"/>
      <c r="U138" s="142"/>
      <c r="V138" s="142"/>
      <c r="W138" s="142"/>
      <c r="X138" s="142"/>
      <c r="Y138" s="142"/>
      <c r="Z138" s="142"/>
      <c r="AA138" s="142"/>
      <c r="AB138" s="142"/>
      <c r="AC138" s="142"/>
      <c r="AD138" s="142"/>
      <c r="AE138" s="142"/>
      <c r="AF138" s="142"/>
      <c r="AG138" s="142"/>
      <c r="AH138" s="142"/>
      <c r="AI138" s="142"/>
    </row>
    <row r="139">
      <c r="A139" s="142"/>
      <c r="B139" s="142"/>
      <c r="C139" s="142"/>
      <c r="D139" s="142"/>
      <c r="E139" s="142"/>
      <c r="F139" s="142"/>
      <c r="G139" s="142"/>
      <c r="H139" s="142"/>
      <c r="I139" s="142"/>
      <c r="J139" s="142"/>
      <c r="K139" s="142"/>
      <c r="L139" s="142"/>
      <c r="M139" s="142"/>
      <c r="N139" s="142"/>
      <c r="O139" s="142"/>
      <c r="P139" s="142"/>
      <c r="Q139" s="142"/>
      <c r="R139" s="144"/>
      <c r="S139" s="142"/>
      <c r="T139" s="142"/>
      <c r="U139" s="142"/>
      <c r="V139" s="142"/>
      <c r="W139" s="142"/>
      <c r="X139" s="142"/>
      <c r="Y139" s="142"/>
      <c r="Z139" s="142"/>
      <c r="AA139" s="142"/>
      <c r="AB139" s="142"/>
      <c r="AC139" s="142"/>
      <c r="AD139" s="142"/>
      <c r="AE139" s="142"/>
      <c r="AF139" s="142"/>
      <c r="AG139" s="142"/>
      <c r="AH139" s="142"/>
      <c r="AI139" s="142"/>
    </row>
    <row r="140">
      <c r="A140" s="142"/>
      <c r="B140" s="142"/>
      <c r="C140" s="142"/>
      <c r="D140" s="142"/>
      <c r="E140" s="142"/>
      <c r="F140" s="142"/>
      <c r="G140" s="142"/>
      <c r="H140" s="142"/>
      <c r="I140" s="142"/>
      <c r="J140" s="142"/>
      <c r="K140" s="142"/>
      <c r="L140" s="142"/>
      <c r="M140" s="142"/>
      <c r="N140" s="142"/>
      <c r="O140" s="142"/>
      <c r="P140" s="142"/>
      <c r="Q140" s="142"/>
      <c r="R140" s="144"/>
      <c r="S140" s="142"/>
      <c r="T140" s="142"/>
      <c r="U140" s="142"/>
      <c r="V140" s="142"/>
      <c r="W140" s="142"/>
      <c r="X140" s="142"/>
      <c r="Y140" s="142"/>
      <c r="Z140" s="142"/>
      <c r="AA140" s="142"/>
      <c r="AB140" s="142"/>
      <c r="AC140" s="142"/>
      <c r="AD140" s="142"/>
      <c r="AE140" s="142"/>
      <c r="AF140" s="142"/>
      <c r="AG140" s="142"/>
      <c r="AH140" s="142"/>
      <c r="AI140" s="142"/>
    </row>
    <row r="141">
      <c r="A141" s="142"/>
      <c r="B141" s="142"/>
      <c r="C141" s="142"/>
      <c r="D141" s="142"/>
      <c r="E141" s="142"/>
      <c r="F141" s="142"/>
      <c r="G141" s="142"/>
      <c r="H141" s="142"/>
      <c r="I141" s="142"/>
      <c r="J141" s="142"/>
      <c r="K141" s="142"/>
      <c r="L141" s="142"/>
      <c r="M141" s="142"/>
      <c r="N141" s="142"/>
      <c r="O141" s="142"/>
      <c r="P141" s="142"/>
      <c r="Q141" s="142"/>
      <c r="R141" s="144"/>
      <c r="S141" s="142"/>
      <c r="T141" s="142"/>
      <c r="U141" s="142"/>
      <c r="V141" s="142"/>
      <c r="W141" s="142"/>
      <c r="X141" s="142"/>
      <c r="Y141" s="142"/>
      <c r="Z141" s="142"/>
      <c r="AA141" s="142"/>
      <c r="AB141" s="142"/>
      <c r="AC141" s="142"/>
      <c r="AD141" s="142"/>
      <c r="AE141" s="142"/>
      <c r="AF141" s="142"/>
      <c r="AG141" s="142"/>
      <c r="AH141" s="142"/>
      <c r="AI141" s="142"/>
    </row>
    <row r="142">
      <c r="A142" s="142"/>
      <c r="B142" s="142"/>
      <c r="C142" s="142"/>
      <c r="D142" s="142"/>
      <c r="E142" s="142"/>
      <c r="F142" s="142"/>
      <c r="G142" s="142"/>
      <c r="H142" s="142"/>
      <c r="I142" s="142"/>
      <c r="J142" s="142"/>
      <c r="K142" s="142"/>
      <c r="L142" s="142"/>
      <c r="M142" s="142"/>
      <c r="N142" s="142"/>
      <c r="O142" s="142"/>
      <c r="P142" s="142"/>
      <c r="Q142" s="142"/>
      <c r="R142" s="144"/>
      <c r="S142" s="142"/>
      <c r="T142" s="142"/>
      <c r="U142" s="142"/>
      <c r="V142" s="142"/>
      <c r="W142" s="142"/>
      <c r="X142" s="142"/>
      <c r="Y142" s="142"/>
      <c r="Z142" s="142"/>
      <c r="AA142" s="142"/>
      <c r="AB142" s="142"/>
      <c r="AC142" s="142"/>
      <c r="AD142" s="142"/>
      <c r="AE142" s="142"/>
      <c r="AF142" s="142"/>
      <c r="AG142" s="142"/>
      <c r="AH142" s="142"/>
      <c r="AI142" s="142"/>
    </row>
    <row r="143">
      <c r="A143" s="142"/>
      <c r="B143" s="142"/>
      <c r="C143" s="142"/>
      <c r="D143" s="142"/>
      <c r="E143" s="142"/>
      <c r="F143" s="142"/>
      <c r="G143" s="142"/>
      <c r="H143" s="142"/>
      <c r="I143" s="142"/>
      <c r="J143" s="142"/>
      <c r="K143" s="142"/>
      <c r="L143" s="142"/>
      <c r="M143" s="142"/>
      <c r="N143" s="142"/>
      <c r="O143" s="142"/>
      <c r="P143" s="142"/>
      <c r="Q143" s="142"/>
      <c r="R143" s="144"/>
      <c r="S143" s="142"/>
      <c r="T143" s="142"/>
      <c r="U143" s="142"/>
      <c r="V143" s="142"/>
      <c r="W143" s="142"/>
      <c r="X143" s="142"/>
      <c r="Y143" s="142"/>
      <c r="Z143" s="142"/>
      <c r="AA143" s="142"/>
      <c r="AB143" s="142"/>
      <c r="AC143" s="142"/>
      <c r="AD143" s="142"/>
      <c r="AE143" s="142"/>
      <c r="AF143" s="142"/>
      <c r="AG143" s="142"/>
      <c r="AH143" s="142"/>
      <c r="AI143" s="142"/>
    </row>
    <row r="144">
      <c r="A144" s="142"/>
      <c r="B144" s="142"/>
      <c r="C144" s="142"/>
      <c r="D144" s="142"/>
      <c r="E144" s="142"/>
      <c r="F144" s="142"/>
      <c r="G144" s="142"/>
      <c r="H144" s="142"/>
      <c r="I144" s="142"/>
      <c r="J144" s="142"/>
      <c r="K144" s="142"/>
      <c r="L144" s="142"/>
      <c r="M144" s="142"/>
      <c r="N144" s="142"/>
      <c r="O144" s="142"/>
      <c r="P144" s="142"/>
      <c r="Q144" s="142"/>
      <c r="R144" s="144"/>
      <c r="S144" s="142"/>
      <c r="T144" s="142"/>
      <c r="U144" s="142"/>
      <c r="V144" s="142"/>
      <c r="W144" s="142"/>
      <c r="X144" s="142"/>
      <c r="Y144" s="142"/>
      <c r="Z144" s="142"/>
      <c r="AA144" s="142"/>
      <c r="AB144" s="142"/>
      <c r="AC144" s="142"/>
      <c r="AD144" s="142"/>
      <c r="AE144" s="142"/>
      <c r="AF144" s="142"/>
      <c r="AG144" s="142"/>
      <c r="AH144" s="142"/>
      <c r="AI144" s="142"/>
    </row>
    <row r="145">
      <c r="A145" s="142"/>
      <c r="B145" s="142"/>
      <c r="C145" s="142"/>
      <c r="D145" s="142"/>
      <c r="E145" s="142"/>
      <c r="F145" s="142"/>
      <c r="G145" s="142"/>
      <c r="H145" s="142"/>
      <c r="I145" s="142"/>
      <c r="J145" s="142"/>
      <c r="K145" s="142"/>
      <c r="L145" s="142"/>
      <c r="M145" s="142"/>
      <c r="N145" s="142"/>
      <c r="O145" s="142"/>
      <c r="P145" s="142"/>
      <c r="Q145" s="142"/>
      <c r="R145" s="144"/>
      <c r="S145" s="142"/>
      <c r="T145" s="142"/>
      <c r="U145" s="142"/>
      <c r="V145" s="142"/>
      <c r="W145" s="142"/>
      <c r="X145" s="142"/>
      <c r="Y145" s="142"/>
      <c r="Z145" s="142"/>
      <c r="AA145" s="142"/>
      <c r="AB145" s="142"/>
      <c r="AC145" s="142"/>
      <c r="AD145" s="142"/>
      <c r="AE145" s="142"/>
      <c r="AF145" s="142"/>
      <c r="AG145" s="142"/>
      <c r="AH145" s="142"/>
      <c r="AI145" s="142"/>
    </row>
    <row r="146">
      <c r="A146" s="142"/>
      <c r="B146" s="142"/>
      <c r="C146" s="142"/>
      <c r="D146" s="142"/>
      <c r="E146" s="142"/>
      <c r="F146" s="142"/>
      <c r="G146" s="142"/>
      <c r="H146" s="142"/>
      <c r="I146" s="142"/>
      <c r="J146" s="142"/>
      <c r="K146" s="142"/>
      <c r="L146" s="142"/>
      <c r="M146" s="142"/>
      <c r="N146" s="142"/>
      <c r="O146" s="142"/>
      <c r="P146" s="142"/>
      <c r="Q146" s="142"/>
      <c r="R146" s="144"/>
      <c r="S146" s="142"/>
      <c r="T146" s="142"/>
      <c r="U146" s="142"/>
      <c r="V146" s="142"/>
      <c r="W146" s="142"/>
      <c r="X146" s="142"/>
      <c r="Y146" s="142"/>
      <c r="Z146" s="142"/>
      <c r="AA146" s="142"/>
      <c r="AB146" s="142"/>
      <c r="AC146" s="142"/>
      <c r="AD146" s="142"/>
      <c r="AE146" s="142"/>
      <c r="AF146" s="142"/>
      <c r="AG146" s="142"/>
      <c r="AH146" s="142"/>
      <c r="AI146" s="142"/>
    </row>
    <row r="147">
      <c r="A147" s="142"/>
      <c r="B147" s="142"/>
      <c r="C147" s="142"/>
      <c r="D147" s="142"/>
      <c r="E147" s="142"/>
      <c r="F147" s="142"/>
      <c r="G147" s="142"/>
      <c r="H147" s="142"/>
      <c r="I147" s="142"/>
      <c r="J147" s="142"/>
      <c r="K147" s="142"/>
      <c r="L147" s="142"/>
      <c r="M147" s="142"/>
      <c r="N147" s="142"/>
      <c r="O147" s="142"/>
      <c r="P147" s="142"/>
      <c r="Q147" s="142"/>
      <c r="R147" s="144"/>
      <c r="S147" s="142"/>
      <c r="T147" s="142"/>
      <c r="U147" s="142"/>
      <c r="V147" s="142"/>
      <c r="W147" s="142"/>
      <c r="X147" s="142"/>
      <c r="Y147" s="142"/>
      <c r="Z147" s="142"/>
      <c r="AA147" s="142"/>
      <c r="AB147" s="142"/>
      <c r="AC147" s="142"/>
      <c r="AD147" s="142"/>
      <c r="AE147" s="142"/>
      <c r="AF147" s="142"/>
      <c r="AG147" s="142"/>
      <c r="AH147" s="142"/>
      <c r="AI147" s="142"/>
    </row>
    <row r="148">
      <c r="A148" s="142"/>
      <c r="B148" s="142"/>
      <c r="C148" s="142"/>
      <c r="D148" s="142"/>
      <c r="E148" s="142"/>
      <c r="F148" s="142"/>
      <c r="G148" s="142"/>
      <c r="H148" s="142"/>
      <c r="I148" s="142"/>
      <c r="J148" s="142"/>
      <c r="K148" s="142"/>
      <c r="L148" s="142"/>
      <c r="M148" s="142"/>
      <c r="N148" s="142"/>
      <c r="O148" s="142"/>
      <c r="P148" s="142"/>
      <c r="Q148" s="142"/>
      <c r="R148" s="144"/>
      <c r="S148" s="142"/>
      <c r="T148" s="142"/>
      <c r="U148" s="142"/>
      <c r="V148" s="142"/>
      <c r="W148" s="142"/>
      <c r="X148" s="142"/>
      <c r="Y148" s="142"/>
      <c r="Z148" s="142"/>
      <c r="AA148" s="142"/>
      <c r="AB148" s="142"/>
      <c r="AC148" s="142"/>
      <c r="AD148" s="142"/>
      <c r="AE148" s="142"/>
      <c r="AF148" s="142"/>
      <c r="AG148" s="142"/>
      <c r="AH148" s="142"/>
      <c r="AI148" s="142"/>
    </row>
    <row r="149">
      <c r="A149" s="142"/>
      <c r="B149" s="142"/>
      <c r="C149" s="142"/>
      <c r="D149" s="142"/>
      <c r="E149" s="142"/>
      <c r="F149" s="142"/>
      <c r="G149" s="142"/>
      <c r="H149" s="142"/>
      <c r="I149" s="142"/>
      <c r="J149" s="142"/>
      <c r="K149" s="142"/>
      <c r="L149" s="142"/>
      <c r="M149" s="142"/>
      <c r="N149" s="142"/>
      <c r="O149" s="142"/>
      <c r="P149" s="142"/>
      <c r="Q149" s="142"/>
      <c r="R149" s="144"/>
      <c r="S149" s="142"/>
      <c r="T149" s="142"/>
      <c r="U149" s="142"/>
      <c r="V149" s="142"/>
      <c r="W149" s="142"/>
      <c r="X149" s="142"/>
      <c r="Y149" s="142"/>
      <c r="Z149" s="142"/>
      <c r="AA149" s="142"/>
      <c r="AB149" s="142"/>
      <c r="AC149" s="142"/>
      <c r="AD149" s="142"/>
      <c r="AE149" s="142"/>
      <c r="AF149" s="142"/>
      <c r="AG149" s="142"/>
      <c r="AH149" s="142"/>
      <c r="AI149" s="142"/>
    </row>
    <row r="150">
      <c r="A150" s="142"/>
      <c r="B150" s="142"/>
      <c r="C150" s="142"/>
      <c r="D150" s="142"/>
      <c r="E150" s="142"/>
      <c r="F150" s="142"/>
      <c r="G150" s="142"/>
      <c r="H150" s="142"/>
      <c r="I150" s="142"/>
      <c r="J150" s="142"/>
      <c r="K150" s="142"/>
      <c r="L150" s="142"/>
      <c r="M150" s="142"/>
      <c r="N150" s="142"/>
      <c r="O150" s="142"/>
      <c r="P150" s="142"/>
      <c r="Q150" s="142"/>
      <c r="R150" s="144"/>
      <c r="S150" s="142"/>
      <c r="T150" s="142"/>
      <c r="U150" s="142"/>
      <c r="V150" s="142"/>
      <c r="W150" s="142"/>
      <c r="X150" s="142"/>
      <c r="Y150" s="142"/>
      <c r="Z150" s="142"/>
      <c r="AA150" s="142"/>
      <c r="AB150" s="142"/>
      <c r="AC150" s="142"/>
      <c r="AD150" s="142"/>
      <c r="AE150" s="142"/>
      <c r="AF150" s="142"/>
      <c r="AG150" s="142"/>
      <c r="AH150" s="142"/>
      <c r="AI150" s="142"/>
    </row>
    <row r="151">
      <c r="A151" s="142"/>
      <c r="B151" s="142"/>
      <c r="C151" s="142"/>
      <c r="D151" s="142"/>
      <c r="E151" s="142"/>
      <c r="F151" s="142"/>
      <c r="G151" s="142"/>
      <c r="H151" s="142"/>
      <c r="I151" s="142"/>
      <c r="J151" s="142"/>
      <c r="K151" s="142"/>
      <c r="L151" s="142"/>
      <c r="M151" s="142"/>
      <c r="N151" s="142"/>
      <c r="O151" s="142"/>
      <c r="P151" s="142"/>
      <c r="Q151" s="142"/>
      <c r="R151" s="144"/>
      <c r="S151" s="142"/>
      <c r="T151" s="142"/>
      <c r="U151" s="142"/>
      <c r="V151" s="142"/>
      <c r="W151" s="142"/>
      <c r="X151" s="142"/>
      <c r="Y151" s="142"/>
      <c r="Z151" s="142"/>
      <c r="AA151" s="142"/>
      <c r="AB151" s="142"/>
      <c r="AC151" s="142"/>
      <c r="AD151" s="142"/>
      <c r="AE151" s="142"/>
      <c r="AF151" s="142"/>
      <c r="AG151" s="142"/>
      <c r="AH151" s="142"/>
      <c r="AI151" s="142"/>
    </row>
    <row r="152">
      <c r="A152" s="142"/>
      <c r="B152" s="142"/>
      <c r="C152" s="142"/>
      <c r="D152" s="142"/>
      <c r="E152" s="142"/>
      <c r="F152" s="142"/>
      <c r="G152" s="142"/>
      <c r="H152" s="142"/>
      <c r="I152" s="142"/>
      <c r="J152" s="142"/>
      <c r="K152" s="142"/>
      <c r="L152" s="142"/>
      <c r="M152" s="142"/>
      <c r="N152" s="142"/>
      <c r="O152" s="142"/>
      <c r="P152" s="142"/>
      <c r="Q152" s="142"/>
      <c r="R152" s="144"/>
      <c r="S152" s="142"/>
      <c r="T152" s="142"/>
      <c r="U152" s="142"/>
      <c r="V152" s="142"/>
      <c r="W152" s="142"/>
      <c r="X152" s="142"/>
      <c r="Y152" s="142"/>
      <c r="Z152" s="142"/>
      <c r="AA152" s="142"/>
      <c r="AB152" s="142"/>
      <c r="AC152" s="142"/>
      <c r="AD152" s="142"/>
      <c r="AE152" s="142"/>
      <c r="AF152" s="142"/>
      <c r="AG152" s="142"/>
      <c r="AH152" s="142"/>
      <c r="AI152" s="142"/>
    </row>
    <row r="153">
      <c r="A153" s="142"/>
      <c r="B153" s="142"/>
      <c r="C153" s="142"/>
      <c r="D153" s="142"/>
      <c r="E153" s="142"/>
      <c r="F153" s="142"/>
      <c r="G153" s="142"/>
      <c r="H153" s="142"/>
      <c r="I153" s="142"/>
      <c r="J153" s="142"/>
      <c r="K153" s="142"/>
      <c r="L153" s="142"/>
      <c r="M153" s="142"/>
      <c r="N153" s="142"/>
      <c r="O153" s="142"/>
      <c r="P153" s="142"/>
      <c r="Q153" s="142"/>
      <c r="R153" s="144"/>
      <c r="S153" s="142"/>
      <c r="T153" s="142"/>
      <c r="U153" s="142"/>
      <c r="V153" s="142"/>
      <c r="W153" s="142"/>
      <c r="X153" s="142"/>
      <c r="Y153" s="142"/>
      <c r="Z153" s="142"/>
      <c r="AA153" s="142"/>
      <c r="AB153" s="142"/>
      <c r="AC153" s="142"/>
      <c r="AD153" s="142"/>
      <c r="AE153" s="142"/>
      <c r="AF153" s="142"/>
      <c r="AG153" s="142"/>
      <c r="AH153" s="142"/>
      <c r="AI153" s="142"/>
    </row>
    <row r="154">
      <c r="A154" s="142"/>
      <c r="B154" s="142"/>
      <c r="C154" s="142"/>
      <c r="D154" s="142"/>
      <c r="E154" s="142"/>
      <c r="F154" s="142"/>
      <c r="G154" s="142"/>
      <c r="H154" s="142"/>
      <c r="I154" s="142"/>
      <c r="J154" s="142"/>
      <c r="K154" s="142"/>
      <c r="L154" s="142"/>
      <c r="M154" s="142"/>
      <c r="N154" s="142"/>
      <c r="O154" s="142"/>
      <c r="P154" s="142"/>
      <c r="Q154" s="142"/>
      <c r="R154" s="144"/>
      <c r="S154" s="142"/>
      <c r="T154" s="142"/>
      <c r="U154" s="142"/>
      <c r="V154" s="142"/>
      <c r="W154" s="142"/>
      <c r="X154" s="142"/>
      <c r="Y154" s="142"/>
      <c r="Z154" s="142"/>
      <c r="AA154" s="142"/>
      <c r="AB154" s="142"/>
      <c r="AC154" s="142"/>
      <c r="AD154" s="142"/>
      <c r="AE154" s="142"/>
      <c r="AF154" s="142"/>
      <c r="AG154" s="142"/>
      <c r="AH154" s="142"/>
      <c r="AI154" s="142"/>
    </row>
    <row r="155">
      <c r="A155" s="142"/>
      <c r="B155" s="142"/>
      <c r="C155" s="142"/>
      <c r="D155" s="142"/>
      <c r="E155" s="142"/>
      <c r="F155" s="142"/>
      <c r="G155" s="142"/>
      <c r="H155" s="142"/>
      <c r="I155" s="142"/>
      <c r="J155" s="142"/>
      <c r="K155" s="142"/>
      <c r="L155" s="142"/>
      <c r="M155" s="142"/>
      <c r="N155" s="142"/>
      <c r="O155" s="142"/>
      <c r="P155" s="142"/>
      <c r="Q155" s="142"/>
      <c r="R155" s="144"/>
      <c r="S155" s="142"/>
      <c r="T155" s="142"/>
      <c r="U155" s="142"/>
      <c r="V155" s="142"/>
      <c r="W155" s="142"/>
      <c r="X155" s="142"/>
      <c r="Y155" s="142"/>
      <c r="Z155" s="142"/>
      <c r="AA155" s="142"/>
      <c r="AB155" s="142"/>
      <c r="AC155" s="142"/>
      <c r="AD155" s="142"/>
      <c r="AE155" s="142"/>
      <c r="AF155" s="142"/>
      <c r="AG155" s="142"/>
      <c r="AH155" s="142"/>
      <c r="AI155" s="142"/>
    </row>
    <row r="156">
      <c r="A156" s="142"/>
      <c r="B156" s="142"/>
      <c r="C156" s="142"/>
      <c r="D156" s="142"/>
      <c r="E156" s="142"/>
      <c r="F156" s="142"/>
      <c r="G156" s="142"/>
      <c r="H156" s="142"/>
      <c r="I156" s="142"/>
      <c r="J156" s="142"/>
      <c r="K156" s="142"/>
      <c r="L156" s="142"/>
      <c r="M156" s="142"/>
      <c r="N156" s="142"/>
      <c r="O156" s="142"/>
      <c r="P156" s="142"/>
      <c r="Q156" s="142"/>
      <c r="R156" s="144"/>
      <c r="S156" s="142"/>
      <c r="T156" s="142"/>
      <c r="U156" s="142"/>
      <c r="V156" s="142"/>
      <c r="W156" s="142"/>
      <c r="X156" s="142"/>
      <c r="Y156" s="142"/>
      <c r="Z156" s="142"/>
      <c r="AA156" s="142"/>
      <c r="AB156" s="142"/>
      <c r="AC156" s="142"/>
      <c r="AD156" s="142"/>
      <c r="AE156" s="142"/>
      <c r="AF156" s="142"/>
      <c r="AG156" s="142"/>
      <c r="AH156" s="142"/>
      <c r="AI156" s="142"/>
    </row>
    <row r="157">
      <c r="A157" s="142"/>
      <c r="B157" s="142"/>
      <c r="C157" s="142"/>
      <c r="D157" s="142"/>
      <c r="E157" s="142"/>
      <c r="F157" s="142"/>
      <c r="G157" s="142"/>
      <c r="H157" s="142"/>
      <c r="I157" s="142"/>
      <c r="J157" s="142"/>
      <c r="K157" s="142"/>
      <c r="L157" s="142"/>
      <c r="M157" s="142"/>
      <c r="N157" s="142"/>
      <c r="O157" s="142"/>
      <c r="P157" s="142"/>
      <c r="Q157" s="142"/>
      <c r="R157" s="144"/>
      <c r="S157" s="142"/>
      <c r="T157" s="142"/>
      <c r="U157" s="142"/>
      <c r="V157" s="142"/>
      <c r="W157" s="142"/>
      <c r="X157" s="142"/>
      <c r="Y157" s="142"/>
      <c r="Z157" s="142"/>
      <c r="AA157" s="142"/>
      <c r="AB157" s="142"/>
      <c r="AC157" s="142"/>
      <c r="AD157" s="142"/>
      <c r="AE157" s="142"/>
      <c r="AF157" s="142"/>
      <c r="AG157" s="142"/>
      <c r="AH157" s="142"/>
      <c r="AI157" s="142"/>
    </row>
    <row r="158">
      <c r="A158" s="142"/>
      <c r="B158" s="142"/>
      <c r="C158" s="142"/>
      <c r="D158" s="142"/>
      <c r="E158" s="142"/>
      <c r="F158" s="142"/>
      <c r="G158" s="142"/>
      <c r="H158" s="142"/>
      <c r="I158" s="142"/>
      <c r="J158" s="142"/>
      <c r="K158" s="142"/>
      <c r="L158" s="142"/>
      <c r="M158" s="142"/>
      <c r="N158" s="142"/>
      <c r="O158" s="142"/>
      <c r="P158" s="142"/>
      <c r="Q158" s="142"/>
      <c r="R158" s="144"/>
      <c r="S158" s="142"/>
      <c r="T158" s="142"/>
      <c r="U158" s="142"/>
      <c r="V158" s="142"/>
      <c r="W158" s="142"/>
      <c r="X158" s="142"/>
      <c r="Y158" s="142"/>
      <c r="Z158" s="142"/>
      <c r="AA158" s="142"/>
      <c r="AB158" s="142"/>
      <c r="AC158" s="142"/>
      <c r="AD158" s="142"/>
      <c r="AE158" s="142"/>
      <c r="AF158" s="142"/>
      <c r="AG158" s="142"/>
      <c r="AH158" s="142"/>
      <c r="AI158" s="142"/>
    </row>
    <row r="159">
      <c r="A159" s="142"/>
      <c r="B159" s="142"/>
      <c r="C159" s="142"/>
      <c r="D159" s="142"/>
      <c r="E159" s="142"/>
      <c r="F159" s="142"/>
      <c r="G159" s="142"/>
      <c r="H159" s="142"/>
      <c r="I159" s="142"/>
      <c r="J159" s="142"/>
      <c r="K159" s="142"/>
      <c r="L159" s="142"/>
      <c r="M159" s="142"/>
      <c r="N159" s="142"/>
      <c r="O159" s="142"/>
      <c r="P159" s="142"/>
      <c r="Q159" s="142"/>
      <c r="R159" s="144"/>
      <c r="S159" s="142"/>
      <c r="T159" s="142"/>
      <c r="U159" s="142"/>
      <c r="V159" s="142"/>
      <c r="W159" s="142"/>
      <c r="X159" s="142"/>
      <c r="Y159" s="142"/>
      <c r="Z159" s="142"/>
      <c r="AA159" s="142"/>
      <c r="AB159" s="142"/>
      <c r="AC159" s="142"/>
      <c r="AD159" s="142"/>
      <c r="AE159" s="142"/>
      <c r="AF159" s="142"/>
      <c r="AG159" s="142"/>
      <c r="AH159" s="142"/>
      <c r="AI159" s="142"/>
    </row>
    <row r="160">
      <c r="A160" s="142"/>
      <c r="B160" s="142"/>
      <c r="C160" s="142"/>
      <c r="D160" s="142"/>
      <c r="E160" s="142"/>
      <c r="F160" s="142"/>
      <c r="G160" s="142"/>
      <c r="H160" s="142"/>
      <c r="I160" s="142"/>
      <c r="J160" s="142"/>
      <c r="K160" s="142"/>
      <c r="L160" s="142"/>
      <c r="M160" s="142"/>
      <c r="N160" s="142"/>
      <c r="O160" s="142"/>
      <c r="P160" s="142"/>
      <c r="Q160" s="142"/>
      <c r="R160" s="144"/>
      <c r="S160" s="142"/>
      <c r="T160" s="142"/>
      <c r="U160" s="142"/>
      <c r="V160" s="142"/>
      <c r="W160" s="142"/>
      <c r="X160" s="142"/>
      <c r="Y160" s="142"/>
      <c r="Z160" s="142"/>
      <c r="AA160" s="142"/>
      <c r="AB160" s="142"/>
      <c r="AC160" s="142"/>
      <c r="AD160" s="142"/>
      <c r="AE160" s="142"/>
      <c r="AF160" s="142"/>
      <c r="AG160" s="142"/>
      <c r="AH160" s="142"/>
      <c r="AI160" s="142"/>
    </row>
    <row r="161">
      <c r="A161" s="142"/>
      <c r="B161" s="142"/>
      <c r="C161" s="142"/>
      <c r="D161" s="142"/>
      <c r="E161" s="142"/>
      <c r="F161" s="142"/>
      <c r="G161" s="142"/>
      <c r="H161" s="142"/>
      <c r="I161" s="142"/>
      <c r="J161" s="142"/>
      <c r="K161" s="142"/>
      <c r="L161" s="142"/>
      <c r="M161" s="142"/>
      <c r="N161" s="142"/>
      <c r="O161" s="142"/>
      <c r="P161" s="142"/>
      <c r="Q161" s="142"/>
      <c r="R161" s="144"/>
      <c r="S161" s="142"/>
      <c r="T161" s="142"/>
      <c r="U161" s="142"/>
      <c r="V161" s="142"/>
      <c r="W161" s="142"/>
      <c r="X161" s="142"/>
      <c r="Y161" s="142"/>
      <c r="Z161" s="142"/>
      <c r="AA161" s="142"/>
      <c r="AB161" s="142"/>
      <c r="AC161" s="142"/>
      <c r="AD161" s="142"/>
      <c r="AE161" s="142"/>
      <c r="AF161" s="142"/>
      <c r="AG161" s="142"/>
      <c r="AH161" s="142"/>
      <c r="AI161" s="142"/>
    </row>
    <row r="162">
      <c r="A162" s="142"/>
      <c r="B162" s="142"/>
      <c r="C162" s="142"/>
      <c r="D162" s="142"/>
      <c r="E162" s="142"/>
      <c r="F162" s="142"/>
      <c r="G162" s="142"/>
      <c r="H162" s="142"/>
      <c r="I162" s="142"/>
      <c r="J162" s="142"/>
      <c r="K162" s="142"/>
      <c r="L162" s="142"/>
      <c r="M162" s="142"/>
      <c r="N162" s="142"/>
      <c r="O162" s="142"/>
      <c r="P162" s="142"/>
      <c r="Q162" s="142"/>
      <c r="R162" s="144"/>
      <c r="S162" s="142"/>
      <c r="T162" s="142"/>
      <c r="U162" s="142"/>
      <c r="V162" s="142"/>
      <c r="W162" s="142"/>
      <c r="X162" s="142"/>
      <c r="Y162" s="142"/>
      <c r="Z162" s="142"/>
      <c r="AA162" s="142"/>
      <c r="AB162" s="142"/>
      <c r="AC162" s="142"/>
      <c r="AD162" s="142"/>
      <c r="AE162" s="142"/>
      <c r="AF162" s="142"/>
      <c r="AG162" s="142"/>
      <c r="AH162" s="142"/>
      <c r="AI162" s="142"/>
    </row>
    <row r="163">
      <c r="A163" s="142"/>
      <c r="B163" s="142"/>
      <c r="C163" s="142"/>
      <c r="D163" s="142"/>
      <c r="E163" s="142"/>
      <c r="F163" s="142"/>
      <c r="G163" s="142"/>
      <c r="H163" s="142"/>
      <c r="I163" s="142"/>
      <c r="J163" s="142"/>
      <c r="K163" s="142"/>
      <c r="L163" s="142"/>
      <c r="M163" s="142"/>
      <c r="N163" s="142"/>
      <c r="O163" s="142"/>
      <c r="P163" s="142"/>
      <c r="Q163" s="142"/>
      <c r="R163" s="144"/>
      <c r="S163" s="142"/>
      <c r="T163" s="142"/>
      <c r="U163" s="142"/>
      <c r="V163" s="142"/>
      <c r="W163" s="142"/>
      <c r="X163" s="142"/>
      <c r="Y163" s="142"/>
      <c r="Z163" s="142"/>
      <c r="AA163" s="142"/>
      <c r="AB163" s="142"/>
      <c r="AC163" s="142"/>
      <c r="AD163" s="142"/>
      <c r="AE163" s="142"/>
      <c r="AF163" s="142"/>
      <c r="AG163" s="142"/>
      <c r="AH163" s="142"/>
      <c r="AI163" s="142"/>
    </row>
    <row r="164">
      <c r="A164" s="142"/>
      <c r="B164" s="142"/>
      <c r="C164" s="142"/>
      <c r="D164" s="142"/>
      <c r="E164" s="142"/>
      <c r="F164" s="142"/>
      <c r="G164" s="142"/>
      <c r="H164" s="142"/>
      <c r="I164" s="142"/>
      <c r="J164" s="142"/>
      <c r="K164" s="142"/>
      <c r="L164" s="142"/>
      <c r="M164" s="142"/>
      <c r="N164" s="142"/>
      <c r="O164" s="142"/>
      <c r="P164" s="142"/>
      <c r="Q164" s="142"/>
      <c r="R164" s="144"/>
      <c r="S164" s="142"/>
      <c r="T164" s="142"/>
      <c r="U164" s="142"/>
      <c r="V164" s="142"/>
      <c r="W164" s="142"/>
      <c r="X164" s="142"/>
      <c r="Y164" s="142"/>
      <c r="Z164" s="142"/>
      <c r="AA164" s="142"/>
      <c r="AB164" s="142"/>
      <c r="AC164" s="142"/>
      <c r="AD164" s="142"/>
      <c r="AE164" s="142"/>
      <c r="AF164" s="142"/>
      <c r="AG164" s="142"/>
      <c r="AH164" s="142"/>
      <c r="AI164" s="142"/>
    </row>
    <row r="165">
      <c r="A165" s="142"/>
      <c r="B165" s="142"/>
      <c r="C165" s="142"/>
      <c r="D165" s="142"/>
      <c r="E165" s="142"/>
      <c r="F165" s="142"/>
      <c r="G165" s="142"/>
      <c r="H165" s="142"/>
      <c r="I165" s="142"/>
      <c r="J165" s="142"/>
      <c r="K165" s="142"/>
      <c r="L165" s="142"/>
      <c r="M165" s="142"/>
      <c r="N165" s="142"/>
      <c r="O165" s="142"/>
      <c r="P165" s="142"/>
      <c r="Q165" s="142"/>
      <c r="R165" s="144"/>
      <c r="S165" s="142"/>
      <c r="T165" s="142"/>
      <c r="U165" s="142"/>
      <c r="V165" s="142"/>
      <c r="W165" s="142"/>
      <c r="X165" s="142"/>
      <c r="Y165" s="142"/>
      <c r="Z165" s="142"/>
      <c r="AA165" s="142"/>
      <c r="AB165" s="142"/>
      <c r="AC165" s="142"/>
      <c r="AD165" s="142"/>
      <c r="AE165" s="142"/>
      <c r="AF165" s="142"/>
      <c r="AG165" s="142"/>
      <c r="AH165" s="142"/>
      <c r="AI165" s="142"/>
    </row>
    <row r="166">
      <c r="A166" s="142"/>
      <c r="B166" s="142"/>
      <c r="C166" s="142"/>
      <c r="D166" s="142"/>
      <c r="E166" s="142"/>
      <c r="F166" s="142"/>
      <c r="G166" s="142"/>
      <c r="H166" s="142"/>
      <c r="I166" s="142"/>
      <c r="J166" s="142"/>
      <c r="K166" s="142"/>
      <c r="L166" s="142"/>
      <c r="M166" s="142"/>
      <c r="N166" s="142"/>
      <c r="O166" s="142"/>
      <c r="P166" s="142"/>
      <c r="Q166" s="142"/>
      <c r="R166" s="144"/>
      <c r="S166" s="142"/>
      <c r="T166" s="142"/>
      <c r="U166" s="142"/>
      <c r="V166" s="142"/>
      <c r="W166" s="142"/>
      <c r="X166" s="142"/>
      <c r="Y166" s="142"/>
      <c r="Z166" s="142"/>
      <c r="AA166" s="142"/>
      <c r="AB166" s="142"/>
      <c r="AC166" s="142"/>
      <c r="AD166" s="142"/>
      <c r="AE166" s="142"/>
      <c r="AF166" s="142"/>
      <c r="AG166" s="142"/>
      <c r="AH166" s="142"/>
      <c r="AI166" s="142"/>
    </row>
    <row r="167">
      <c r="A167" s="142"/>
      <c r="B167" s="142"/>
      <c r="C167" s="142"/>
      <c r="D167" s="142"/>
      <c r="E167" s="142"/>
      <c r="F167" s="142"/>
      <c r="G167" s="142"/>
      <c r="H167" s="142"/>
      <c r="I167" s="142"/>
      <c r="J167" s="142"/>
      <c r="K167" s="142"/>
      <c r="L167" s="142"/>
      <c r="M167" s="142"/>
      <c r="N167" s="142"/>
      <c r="O167" s="142"/>
      <c r="P167" s="142"/>
      <c r="Q167" s="142"/>
      <c r="R167" s="144"/>
      <c r="S167" s="142"/>
      <c r="T167" s="142"/>
      <c r="U167" s="142"/>
      <c r="V167" s="142"/>
      <c r="W167" s="142"/>
      <c r="X167" s="142"/>
      <c r="Y167" s="142"/>
      <c r="Z167" s="142"/>
      <c r="AA167" s="142"/>
      <c r="AB167" s="142"/>
      <c r="AC167" s="142"/>
      <c r="AD167" s="142"/>
      <c r="AE167" s="142"/>
      <c r="AF167" s="142"/>
      <c r="AG167" s="142"/>
      <c r="AH167" s="142"/>
      <c r="AI167" s="142"/>
    </row>
    <row r="168">
      <c r="A168" s="142"/>
      <c r="B168" s="142"/>
      <c r="C168" s="142"/>
      <c r="D168" s="142"/>
      <c r="E168" s="142"/>
      <c r="F168" s="142"/>
      <c r="G168" s="142"/>
      <c r="H168" s="142"/>
      <c r="I168" s="142"/>
      <c r="J168" s="142"/>
      <c r="K168" s="142"/>
      <c r="L168" s="142"/>
      <c r="M168" s="142"/>
      <c r="N168" s="142"/>
      <c r="O168" s="142"/>
      <c r="P168" s="142"/>
      <c r="Q168" s="142"/>
      <c r="R168" s="144"/>
      <c r="S168" s="142"/>
      <c r="T168" s="142"/>
      <c r="U168" s="142"/>
      <c r="V168" s="142"/>
      <c r="W168" s="142"/>
      <c r="X168" s="142"/>
      <c r="Y168" s="142"/>
      <c r="Z168" s="142"/>
      <c r="AA168" s="142"/>
      <c r="AB168" s="142"/>
      <c r="AC168" s="142"/>
      <c r="AD168" s="142"/>
      <c r="AE168" s="142"/>
      <c r="AF168" s="142"/>
      <c r="AG168" s="142"/>
      <c r="AH168" s="142"/>
      <c r="AI168" s="142"/>
    </row>
    <row r="169">
      <c r="A169" s="142"/>
      <c r="B169" s="142"/>
      <c r="C169" s="142"/>
      <c r="D169" s="142"/>
      <c r="E169" s="142"/>
      <c r="F169" s="142"/>
      <c r="G169" s="142"/>
      <c r="H169" s="142"/>
      <c r="I169" s="142"/>
      <c r="J169" s="142"/>
      <c r="K169" s="142"/>
      <c r="L169" s="142"/>
      <c r="M169" s="142"/>
      <c r="N169" s="142"/>
      <c r="O169" s="142"/>
      <c r="P169" s="142"/>
      <c r="Q169" s="142"/>
      <c r="R169" s="144"/>
      <c r="S169" s="142"/>
      <c r="T169" s="142"/>
      <c r="U169" s="142"/>
      <c r="V169" s="142"/>
      <c r="W169" s="142"/>
      <c r="X169" s="142"/>
      <c r="Y169" s="142"/>
      <c r="Z169" s="142"/>
      <c r="AA169" s="142"/>
      <c r="AB169" s="142"/>
      <c r="AC169" s="142"/>
      <c r="AD169" s="142"/>
      <c r="AE169" s="142"/>
      <c r="AF169" s="142"/>
      <c r="AG169" s="142"/>
      <c r="AH169" s="142"/>
      <c r="AI169" s="142"/>
    </row>
    <row r="170">
      <c r="A170" s="142"/>
      <c r="B170" s="142"/>
      <c r="C170" s="142"/>
      <c r="D170" s="142"/>
      <c r="E170" s="142"/>
      <c r="F170" s="142"/>
      <c r="G170" s="142"/>
      <c r="H170" s="142"/>
      <c r="I170" s="142"/>
      <c r="J170" s="142"/>
      <c r="K170" s="142"/>
      <c r="L170" s="142"/>
      <c r="M170" s="142"/>
      <c r="N170" s="142"/>
      <c r="O170" s="142"/>
      <c r="P170" s="142"/>
      <c r="Q170" s="142"/>
      <c r="R170" s="144"/>
      <c r="S170" s="142"/>
      <c r="T170" s="142"/>
      <c r="U170" s="142"/>
      <c r="V170" s="142"/>
      <c r="W170" s="142"/>
      <c r="X170" s="142"/>
      <c r="Y170" s="142"/>
      <c r="Z170" s="142"/>
      <c r="AA170" s="142"/>
      <c r="AB170" s="142"/>
      <c r="AC170" s="142"/>
      <c r="AD170" s="142"/>
      <c r="AE170" s="142"/>
      <c r="AF170" s="142"/>
      <c r="AG170" s="142"/>
      <c r="AH170" s="142"/>
      <c r="AI170" s="142"/>
    </row>
    <row r="171">
      <c r="A171" s="142"/>
      <c r="B171" s="142"/>
      <c r="C171" s="142"/>
      <c r="D171" s="142"/>
      <c r="E171" s="142"/>
      <c r="F171" s="142"/>
      <c r="G171" s="142"/>
      <c r="H171" s="142"/>
      <c r="I171" s="142"/>
      <c r="J171" s="142"/>
      <c r="K171" s="142"/>
      <c r="L171" s="142"/>
      <c r="M171" s="142"/>
      <c r="N171" s="142"/>
      <c r="O171" s="142"/>
      <c r="P171" s="142"/>
      <c r="Q171" s="142"/>
      <c r="R171" s="144"/>
      <c r="S171" s="142"/>
      <c r="T171" s="142"/>
      <c r="U171" s="142"/>
      <c r="V171" s="142"/>
      <c r="W171" s="142"/>
      <c r="X171" s="142"/>
      <c r="Y171" s="142"/>
      <c r="Z171" s="142"/>
      <c r="AA171" s="142"/>
      <c r="AB171" s="142"/>
      <c r="AC171" s="142"/>
      <c r="AD171" s="142"/>
      <c r="AE171" s="142"/>
      <c r="AF171" s="142"/>
      <c r="AG171" s="142"/>
      <c r="AH171" s="142"/>
      <c r="AI171" s="142"/>
    </row>
    <row r="172">
      <c r="A172" s="142"/>
      <c r="B172" s="142"/>
      <c r="C172" s="142"/>
      <c r="D172" s="142"/>
      <c r="E172" s="142"/>
      <c r="F172" s="142"/>
      <c r="G172" s="142"/>
      <c r="H172" s="142"/>
      <c r="I172" s="142"/>
      <c r="J172" s="142"/>
      <c r="K172" s="142"/>
      <c r="L172" s="142"/>
      <c r="M172" s="142"/>
      <c r="N172" s="142"/>
      <c r="O172" s="142"/>
      <c r="P172" s="142"/>
      <c r="Q172" s="142"/>
      <c r="R172" s="144"/>
      <c r="S172" s="142"/>
      <c r="T172" s="142"/>
      <c r="U172" s="142"/>
      <c r="V172" s="142"/>
      <c r="W172" s="142"/>
      <c r="X172" s="142"/>
      <c r="Y172" s="142"/>
      <c r="Z172" s="142"/>
      <c r="AA172" s="142"/>
      <c r="AB172" s="142"/>
      <c r="AC172" s="142"/>
      <c r="AD172" s="142"/>
      <c r="AE172" s="142"/>
      <c r="AF172" s="142"/>
      <c r="AG172" s="142"/>
      <c r="AH172" s="142"/>
      <c r="AI172" s="142"/>
    </row>
    <row r="173">
      <c r="A173" s="142"/>
      <c r="B173" s="142"/>
      <c r="C173" s="142"/>
      <c r="D173" s="142"/>
      <c r="E173" s="142"/>
      <c r="F173" s="142"/>
      <c r="G173" s="142"/>
      <c r="H173" s="142"/>
      <c r="I173" s="142"/>
      <c r="J173" s="142"/>
      <c r="K173" s="142"/>
      <c r="L173" s="142"/>
      <c r="M173" s="142"/>
      <c r="N173" s="142"/>
      <c r="O173" s="142"/>
      <c r="P173" s="142"/>
      <c r="Q173" s="142"/>
      <c r="R173" s="144"/>
      <c r="S173" s="142"/>
      <c r="T173" s="142"/>
      <c r="U173" s="142"/>
      <c r="V173" s="142"/>
      <c r="W173" s="142"/>
      <c r="X173" s="142"/>
      <c r="Y173" s="142"/>
      <c r="Z173" s="142"/>
      <c r="AA173" s="142"/>
      <c r="AB173" s="142"/>
      <c r="AC173" s="142"/>
      <c r="AD173" s="142"/>
      <c r="AE173" s="142"/>
      <c r="AF173" s="142"/>
      <c r="AG173" s="142"/>
      <c r="AH173" s="142"/>
      <c r="AI173" s="142"/>
    </row>
    <row r="174">
      <c r="A174" s="142"/>
      <c r="B174" s="142"/>
      <c r="C174" s="142"/>
      <c r="D174" s="142"/>
      <c r="E174" s="142"/>
      <c r="F174" s="142"/>
      <c r="G174" s="142"/>
      <c r="H174" s="142"/>
      <c r="I174" s="142"/>
      <c r="J174" s="142"/>
      <c r="K174" s="142"/>
      <c r="L174" s="142"/>
      <c r="M174" s="142"/>
      <c r="N174" s="142"/>
      <c r="O174" s="142"/>
      <c r="P174" s="142"/>
      <c r="Q174" s="142"/>
      <c r="R174" s="144"/>
      <c r="S174" s="142"/>
      <c r="T174" s="142"/>
      <c r="U174" s="142"/>
      <c r="V174" s="142"/>
      <c r="W174" s="142"/>
      <c r="X174" s="142"/>
      <c r="Y174" s="142"/>
      <c r="Z174" s="142"/>
      <c r="AA174" s="142"/>
      <c r="AB174" s="142"/>
      <c r="AC174" s="142"/>
      <c r="AD174" s="142"/>
      <c r="AE174" s="142"/>
      <c r="AF174" s="142"/>
      <c r="AG174" s="142"/>
      <c r="AH174" s="142"/>
      <c r="AI174" s="142"/>
    </row>
    <row r="175">
      <c r="A175" s="142"/>
      <c r="B175" s="142"/>
      <c r="C175" s="142"/>
      <c r="D175" s="142"/>
      <c r="E175" s="142"/>
      <c r="F175" s="142"/>
      <c r="G175" s="142"/>
      <c r="H175" s="142"/>
      <c r="I175" s="142"/>
      <c r="J175" s="142"/>
      <c r="K175" s="142"/>
      <c r="L175" s="142"/>
      <c r="M175" s="142"/>
      <c r="N175" s="142"/>
      <c r="O175" s="142"/>
      <c r="P175" s="142"/>
      <c r="Q175" s="142"/>
      <c r="R175" s="144"/>
      <c r="S175" s="142"/>
      <c r="T175" s="142"/>
      <c r="U175" s="142"/>
      <c r="V175" s="142"/>
      <c r="W175" s="142"/>
      <c r="X175" s="142"/>
      <c r="Y175" s="142"/>
      <c r="Z175" s="142"/>
      <c r="AA175" s="142"/>
      <c r="AB175" s="142"/>
      <c r="AC175" s="142"/>
      <c r="AD175" s="142"/>
      <c r="AE175" s="142"/>
      <c r="AF175" s="142"/>
      <c r="AG175" s="142"/>
      <c r="AH175" s="142"/>
      <c r="AI175" s="142"/>
    </row>
    <row r="176">
      <c r="A176" s="142"/>
      <c r="B176" s="142"/>
      <c r="C176" s="142"/>
      <c r="D176" s="142"/>
      <c r="E176" s="142"/>
      <c r="F176" s="142"/>
      <c r="G176" s="142"/>
      <c r="H176" s="142"/>
      <c r="I176" s="142"/>
      <c r="J176" s="142"/>
      <c r="K176" s="142"/>
      <c r="L176" s="142"/>
      <c r="M176" s="142"/>
      <c r="N176" s="142"/>
      <c r="O176" s="142"/>
      <c r="P176" s="142"/>
      <c r="Q176" s="142"/>
      <c r="R176" s="144"/>
      <c r="S176" s="142"/>
      <c r="T176" s="142"/>
      <c r="U176" s="142"/>
      <c r="V176" s="142"/>
      <c r="W176" s="142"/>
      <c r="X176" s="142"/>
      <c r="Y176" s="142"/>
      <c r="Z176" s="142"/>
      <c r="AA176" s="142"/>
      <c r="AB176" s="142"/>
      <c r="AC176" s="142"/>
      <c r="AD176" s="142"/>
      <c r="AE176" s="142"/>
      <c r="AF176" s="142"/>
      <c r="AG176" s="142"/>
      <c r="AH176" s="142"/>
      <c r="AI176" s="142"/>
    </row>
    <row r="177">
      <c r="A177" s="142"/>
      <c r="B177" s="142"/>
      <c r="C177" s="142"/>
      <c r="D177" s="142"/>
      <c r="E177" s="142"/>
      <c r="F177" s="142"/>
      <c r="G177" s="142"/>
      <c r="H177" s="142"/>
      <c r="I177" s="142"/>
      <c r="J177" s="142"/>
      <c r="K177" s="142"/>
      <c r="L177" s="142"/>
      <c r="M177" s="142"/>
      <c r="N177" s="142"/>
      <c r="O177" s="142"/>
      <c r="P177" s="142"/>
      <c r="Q177" s="142"/>
      <c r="R177" s="144"/>
      <c r="S177" s="142"/>
      <c r="T177" s="142"/>
      <c r="U177" s="142"/>
      <c r="V177" s="142"/>
      <c r="W177" s="142"/>
      <c r="X177" s="142"/>
      <c r="Y177" s="142"/>
      <c r="Z177" s="142"/>
      <c r="AA177" s="142"/>
      <c r="AB177" s="142"/>
      <c r="AC177" s="142"/>
      <c r="AD177" s="142"/>
      <c r="AE177" s="142"/>
      <c r="AF177" s="142"/>
      <c r="AG177" s="142"/>
      <c r="AH177" s="142"/>
      <c r="AI177" s="142"/>
    </row>
    <row r="178">
      <c r="A178" s="142"/>
      <c r="B178" s="142"/>
      <c r="C178" s="142"/>
      <c r="D178" s="142"/>
      <c r="E178" s="142"/>
      <c r="F178" s="142"/>
      <c r="G178" s="142"/>
      <c r="H178" s="142"/>
      <c r="I178" s="142"/>
      <c r="J178" s="142"/>
      <c r="K178" s="142"/>
      <c r="L178" s="142"/>
      <c r="M178" s="142"/>
      <c r="N178" s="142"/>
      <c r="O178" s="142"/>
      <c r="P178" s="142"/>
      <c r="Q178" s="142"/>
      <c r="R178" s="144"/>
      <c r="S178" s="142"/>
      <c r="T178" s="142"/>
      <c r="U178" s="142"/>
      <c r="V178" s="142"/>
      <c r="W178" s="142"/>
      <c r="X178" s="142"/>
      <c r="Y178" s="142"/>
      <c r="Z178" s="142"/>
      <c r="AA178" s="142"/>
      <c r="AB178" s="142"/>
      <c r="AC178" s="142"/>
      <c r="AD178" s="142"/>
      <c r="AE178" s="142"/>
      <c r="AF178" s="142"/>
      <c r="AG178" s="142"/>
      <c r="AH178" s="142"/>
      <c r="AI178" s="142"/>
    </row>
    <row r="179">
      <c r="A179" s="142"/>
      <c r="B179" s="142"/>
      <c r="C179" s="142"/>
      <c r="D179" s="142"/>
      <c r="E179" s="142"/>
      <c r="F179" s="142"/>
      <c r="G179" s="142"/>
      <c r="H179" s="142"/>
      <c r="I179" s="142"/>
      <c r="J179" s="142"/>
      <c r="K179" s="142"/>
      <c r="L179" s="142"/>
      <c r="M179" s="142"/>
      <c r="N179" s="142"/>
      <c r="O179" s="142"/>
      <c r="P179" s="142"/>
      <c r="Q179" s="142"/>
      <c r="R179" s="144"/>
      <c r="S179" s="142"/>
      <c r="T179" s="142"/>
      <c r="U179" s="142"/>
      <c r="V179" s="142"/>
      <c r="W179" s="142"/>
      <c r="X179" s="142"/>
      <c r="Y179" s="142"/>
      <c r="Z179" s="142"/>
      <c r="AA179" s="142"/>
      <c r="AB179" s="142"/>
      <c r="AC179" s="142"/>
      <c r="AD179" s="142"/>
      <c r="AE179" s="142"/>
      <c r="AF179" s="142"/>
      <c r="AG179" s="142"/>
      <c r="AH179" s="142"/>
      <c r="AI179" s="142"/>
    </row>
    <row r="180">
      <c r="A180" s="142"/>
      <c r="B180" s="142"/>
      <c r="C180" s="142"/>
      <c r="D180" s="142"/>
      <c r="E180" s="142"/>
      <c r="F180" s="142"/>
      <c r="G180" s="142"/>
      <c r="H180" s="142"/>
      <c r="I180" s="142"/>
      <c r="J180" s="142"/>
      <c r="K180" s="142"/>
      <c r="L180" s="142"/>
      <c r="M180" s="142"/>
      <c r="N180" s="142"/>
      <c r="O180" s="142"/>
      <c r="P180" s="142"/>
      <c r="Q180" s="142"/>
      <c r="R180" s="144"/>
      <c r="S180" s="142"/>
      <c r="T180" s="142"/>
      <c r="U180" s="142"/>
      <c r="V180" s="142"/>
      <c r="W180" s="142"/>
      <c r="X180" s="142"/>
      <c r="Y180" s="142"/>
      <c r="Z180" s="142"/>
      <c r="AA180" s="142"/>
      <c r="AB180" s="142"/>
      <c r="AC180" s="142"/>
      <c r="AD180" s="142"/>
      <c r="AE180" s="142"/>
      <c r="AF180" s="142"/>
      <c r="AG180" s="142"/>
      <c r="AH180" s="142"/>
      <c r="AI180" s="142"/>
    </row>
    <row r="181">
      <c r="A181" s="142"/>
      <c r="B181" s="142"/>
      <c r="C181" s="142"/>
      <c r="D181" s="142"/>
      <c r="E181" s="142"/>
      <c r="F181" s="142"/>
      <c r="G181" s="142"/>
      <c r="H181" s="142"/>
      <c r="I181" s="142"/>
      <c r="J181" s="142"/>
      <c r="K181" s="142"/>
      <c r="L181" s="142"/>
      <c r="M181" s="142"/>
      <c r="N181" s="142"/>
      <c r="O181" s="142"/>
      <c r="P181" s="142"/>
      <c r="Q181" s="142"/>
      <c r="R181" s="144"/>
      <c r="S181" s="142"/>
      <c r="T181" s="142"/>
      <c r="U181" s="142"/>
      <c r="V181" s="142"/>
      <c r="W181" s="142"/>
      <c r="X181" s="142"/>
      <c r="Y181" s="142"/>
      <c r="Z181" s="142"/>
      <c r="AA181" s="142"/>
      <c r="AB181" s="142"/>
      <c r="AC181" s="142"/>
      <c r="AD181" s="142"/>
      <c r="AE181" s="142"/>
      <c r="AF181" s="142"/>
      <c r="AG181" s="142"/>
      <c r="AH181" s="142"/>
      <c r="AI181" s="142"/>
    </row>
    <row r="182">
      <c r="A182" s="142"/>
      <c r="B182" s="142"/>
      <c r="C182" s="142"/>
      <c r="D182" s="142"/>
      <c r="E182" s="142"/>
      <c r="F182" s="142"/>
      <c r="G182" s="142"/>
      <c r="H182" s="142"/>
      <c r="I182" s="142"/>
      <c r="J182" s="142"/>
      <c r="K182" s="142"/>
      <c r="L182" s="142"/>
      <c r="M182" s="142"/>
      <c r="N182" s="142"/>
      <c r="O182" s="142"/>
      <c r="P182" s="142"/>
      <c r="Q182" s="142"/>
      <c r="R182" s="144"/>
      <c r="S182" s="142"/>
      <c r="T182" s="142"/>
      <c r="U182" s="142"/>
      <c r="V182" s="142"/>
      <c r="W182" s="142"/>
      <c r="X182" s="142"/>
      <c r="Y182" s="142"/>
      <c r="Z182" s="142"/>
      <c r="AA182" s="142"/>
      <c r="AB182" s="142"/>
      <c r="AC182" s="142"/>
      <c r="AD182" s="142"/>
      <c r="AE182" s="142"/>
      <c r="AF182" s="142"/>
      <c r="AG182" s="142"/>
      <c r="AH182" s="142"/>
      <c r="AI182" s="142"/>
    </row>
    <row r="183">
      <c r="A183" s="142"/>
      <c r="B183" s="142"/>
      <c r="C183" s="142"/>
      <c r="D183" s="142"/>
      <c r="E183" s="142"/>
      <c r="F183" s="142"/>
      <c r="G183" s="142"/>
      <c r="H183" s="142"/>
      <c r="I183" s="142"/>
      <c r="J183" s="142"/>
      <c r="K183" s="142"/>
      <c r="L183" s="142"/>
      <c r="M183" s="142"/>
      <c r="N183" s="142"/>
      <c r="O183" s="142"/>
      <c r="P183" s="142"/>
      <c r="Q183" s="142"/>
      <c r="R183" s="144"/>
      <c r="S183" s="142"/>
      <c r="T183" s="142"/>
      <c r="U183" s="142"/>
      <c r="V183" s="142"/>
      <c r="W183" s="142"/>
      <c r="X183" s="142"/>
      <c r="Y183" s="142"/>
      <c r="Z183" s="142"/>
      <c r="AA183" s="142"/>
      <c r="AB183" s="142"/>
      <c r="AC183" s="142"/>
      <c r="AD183" s="142"/>
      <c r="AE183" s="142"/>
      <c r="AF183" s="142"/>
      <c r="AG183" s="142"/>
      <c r="AH183" s="142"/>
      <c r="AI183" s="142"/>
    </row>
    <row r="184">
      <c r="A184" s="142"/>
      <c r="B184" s="142"/>
      <c r="C184" s="142"/>
      <c r="D184" s="142"/>
      <c r="E184" s="142"/>
      <c r="F184" s="142"/>
      <c r="G184" s="142"/>
      <c r="H184" s="142"/>
      <c r="I184" s="142"/>
      <c r="J184" s="142"/>
      <c r="K184" s="142"/>
      <c r="L184" s="142"/>
      <c r="M184" s="142"/>
      <c r="N184" s="142"/>
      <c r="O184" s="142"/>
      <c r="P184" s="142"/>
      <c r="Q184" s="142"/>
      <c r="R184" s="144"/>
      <c r="S184" s="142"/>
      <c r="T184" s="142"/>
      <c r="U184" s="142"/>
      <c r="V184" s="142"/>
      <c r="W184" s="142"/>
      <c r="X184" s="142"/>
      <c r="Y184" s="142"/>
      <c r="Z184" s="142"/>
      <c r="AA184" s="142"/>
      <c r="AB184" s="142"/>
      <c r="AC184" s="142"/>
      <c r="AD184" s="142"/>
      <c r="AE184" s="142"/>
      <c r="AF184" s="142"/>
      <c r="AG184" s="142"/>
      <c r="AH184" s="142"/>
      <c r="AI184" s="142"/>
    </row>
    <row r="185">
      <c r="A185" s="142"/>
      <c r="B185" s="142"/>
      <c r="C185" s="142"/>
      <c r="D185" s="142"/>
      <c r="E185" s="142"/>
      <c r="F185" s="142"/>
      <c r="G185" s="142"/>
      <c r="H185" s="142"/>
      <c r="I185" s="142"/>
      <c r="J185" s="142"/>
      <c r="K185" s="142"/>
      <c r="L185" s="142"/>
      <c r="M185" s="142"/>
      <c r="N185" s="142"/>
      <c r="O185" s="142"/>
      <c r="P185" s="142"/>
      <c r="Q185" s="142"/>
      <c r="R185" s="144"/>
      <c r="S185" s="142"/>
      <c r="T185" s="142"/>
      <c r="U185" s="142"/>
      <c r="V185" s="142"/>
      <c r="W185" s="142"/>
      <c r="X185" s="142"/>
      <c r="Y185" s="142"/>
      <c r="Z185" s="142"/>
      <c r="AA185" s="142"/>
      <c r="AB185" s="142"/>
      <c r="AC185" s="142"/>
      <c r="AD185" s="142"/>
      <c r="AE185" s="142"/>
      <c r="AF185" s="142"/>
      <c r="AG185" s="142"/>
      <c r="AH185" s="142"/>
      <c r="AI185" s="142"/>
    </row>
    <row r="186">
      <c r="A186" s="142"/>
      <c r="B186" s="142"/>
      <c r="C186" s="142"/>
      <c r="D186" s="142"/>
      <c r="E186" s="142"/>
      <c r="F186" s="142"/>
      <c r="G186" s="142"/>
      <c r="H186" s="142"/>
      <c r="I186" s="142"/>
      <c r="J186" s="142"/>
      <c r="K186" s="142"/>
      <c r="L186" s="142"/>
      <c r="M186" s="142"/>
      <c r="N186" s="142"/>
      <c r="O186" s="142"/>
      <c r="P186" s="142"/>
      <c r="Q186" s="142"/>
      <c r="R186" s="144"/>
      <c r="S186" s="142"/>
      <c r="T186" s="142"/>
      <c r="U186" s="142"/>
      <c r="V186" s="142"/>
      <c r="W186" s="142"/>
      <c r="X186" s="142"/>
      <c r="Y186" s="142"/>
      <c r="Z186" s="142"/>
      <c r="AA186" s="142"/>
      <c r="AB186" s="142"/>
      <c r="AC186" s="142"/>
      <c r="AD186" s="142"/>
      <c r="AE186" s="142"/>
      <c r="AF186" s="142"/>
      <c r="AG186" s="142"/>
      <c r="AH186" s="142"/>
      <c r="AI186" s="142"/>
    </row>
    <row r="187">
      <c r="A187" s="142"/>
      <c r="B187" s="142"/>
      <c r="C187" s="142"/>
      <c r="D187" s="142"/>
      <c r="E187" s="142"/>
      <c r="F187" s="142"/>
      <c r="G187" s="142"/>
      <c r="H187" s="142"/>
      <c r="I187" s="142"/>
      <c r="J187" s="142"/>
      <c r="K187" s="142"/>
      <c r="L187" s="142"/>
      <c r="M187" s="142"/>
      <c r="N187" s="142"/>
      <c r="O187" s="142"/>
      <c r="P187" s="142"/>
      <c r="Q187" s="142"/>
      <c r="R187" s="144"/>
      <c r="S187" s="142"/>
      <c r="T187" s="142"/>
      <c r="U187" s="142"/>
      <c r="V187" s="142"/>
      <c r="W187" s="142"/>
      <c r="X187" s="142"/>
      <c r="Y187" s="142"/>
      <c r="Z187" s="142"/>
      <c r="AA187" s="142"/>
      <c r="AB187" s="142"/>
      <c r="AC187" s="142"/>
      <c r="AD187" s="142"/>
      <c r="AE187" s="142"/>
      <c r="AF187" s="142"/>
      <c r="AG187" s="142"/>
      <c r="AH187" s="142"/>
      <c r="AI187" s="142"/>
    </row>
    <row r="188">
      <c r="A188" s="142"/>
      <c r="B188" s="142"/>
      <c r="C188" s="142"/>
      <c r="D188" s="142"/>
      <c r="E188" s="142"/>
      <c r="F188" s="142"/>
      <c r="G188" s="142"/>
      <c r="H188" s="142"/>
      <c r="I188" s="142"/>
      <c r="J188" s="142"/>
      <c r="K188" s="142"/>
      <c r="L188" s="142"/>
      <c r="M188" s="142"/>
      <c r="N188" s="142"/>
      <c r="O188" s="142"/>
      <c r="P188" s="142"/>
      <c r="Q188" s="142"/>
      <c r="R188" s="144"/>
      <c r="S188" s="142"/>
      <c r="T188" s="142"/>
      <c r="U188" s="142"/>
      <c r="V188" s="142"/>
      <c r="W188" s="142"/>
      <c r="X188" s="142"/>
      <c r="Y188" s="142"/>
      <c r="Z188" s="142"/>
      <c r="AA188" s="142"/>
      <c r="AB188" s="142"/>
      <c r="AC188" s="142"/>
      <c r="AD188" s="142"/>
      <c r="AE188" s="142"/>
      <c r="AF188" s="142"/>
      <c r="AG188" s="142"/>
      <c r="AH188" s="142"/>
      <c r="AI188" s="142"/>
    </row>
    <row r="189">
      <c r="A189" s="142"/>
      <c r="B189" s="142"/>
      <c r="C189" s="142"/>
      <c r="D189" s="142"/>
      <c r="E189" s="142"/>
      <c r="F189" s="142"/>
      <c r="G189" s="142"/>
      <c r="H189" s="142"/>
      <c r="I189" s="142"/>
      <c r="J189" s="142"/>
      <c r="K189" s="142"/>
      <c r="L189" s="142"/>
      <c r="M189" s="142"/>
      <c r="N189" s="142"/>
      <c r="O189" s="142"/>
      <c r="P189" s="142"/>
      <c r="Q189" s="142"/>
      <c r="R189" s="144"/>
      <c r="S189" s="142"/>
      <c r="T189" s="142"/>
      <c r="U189" s="142"/>
      <c r="V189" s="142"/>
      <c r="W189" s="142"/>
      <c r="X189" s="142"/>
      <c r="Y189" s="142"/>
      <c r="Z189" s="142"/>
      <c r="AA189" s="142"/>
      <c r="AB189" s="142"/>
      <c r="AC189" s="142"/>
      <c r="AD189" s="142"/>
      <c r="AE189" s="142"/>
      <c r="AF189" s="142"/>
      <c r="AG189" s="142"/>
      <c r="AH189" s="142"/>
      <c r="AI189" s="142"/>
    </row>
    <row r="190">
      <c r="A190" s="142"/>
      <c r="B190" s="142"/>
      <c r="C190" s="142"/>
      <c r="D190" s="142"/>
      <c r="E190" s="142"/>
      <c r="F190" s="142"/>
      <c r="G190" s="142"/>
      <c r="H190" s="142"/>
      <c r="I190" s="142"/>
      <c r="J190" s="142"/>
      <c r="K190" s="142"/>
      <c r="L190" s="142"/>
      <c r="M190" s="142"/>
      <c r="N190" s="142"/>
      <c r="O190" s="142"/>
      <c r="P190" s="142"/>
      <c r="Q190" s="142"/>
      <c r="R190" s="144"/>
      <c r="S190" s="142"/>
      <c r="T190" s="142"/>
      <c r="U190" s="142"/>
      <c r="V190" s="142"/>
      <c r="W190" s="142"/>
      <c r="X190" s="142"/>
      <c r="Y190" s="142"/>
      <c r="Z190" s="142"/>
      <c r="AA190" s="142"/>
      <c r="AB190" s="142"/>
      <c r="AC190" s="142"/>
      <c r="AD190" s="142"/>
      <c r="AE190" s="142"/>
      <c r="AF190" s="142"/>
      <c r="AG190" s="142"/>
      <c r="AH190" s="142"/>
      <c r="AI190" s="142"/>
    </row>
    <row r="191">
      <c r="A191" s="142"/>
      <c r="B191" s="142"/>
      <c r="C191" s="142"/>
      <c r="D191" s="142"/>
      <c r="E191" s="142"/>
      <c r="F191" s="142"/>
      <c r="G191" s="142"/>
      <c r="H191" s="142"/>
      <c r="I191" s="142"/>
      <c r="J191" s="142"/>
      <c r="K191" s="142"/>
      <c r="L191" s="142"/>
      <c r="M191" s="142"/>
      <c r="N191" s="142"/>
      <c r="O191" s="142"/>
      <c r="P191" s="142"/>
      <c r="Q191" s="142"/>
      <c r="R191" s="144"/>
      <c r="S191" s="142"/>
      <c r="T191" s="142"/>
      <c r="U191" s="142"/>
      <c r="V191" s="142"/>
      <c r="W191" s="142"/>
      <c r="X191" s="142"/>
      <c r="Y191" s="142"/>
      <c r="Z191" s="142"/>
      <c r="AA191" s="142"/>
      <c r="AB191" s="142"/>
      <c r="AC191" s="142"/>
      <c r="AD191" s="142"/>
      <c r="AE191" s="142"/>
      <c r="AF191" s="142"/>
      <c r="AG191" s="142"/>
      <c r="AH191" s="142"/>
      <c r="AI191" s="142"/>
    </row>
    <row r="192">
      <c r="A192" s="142"/>
      <c r="B192" s="142"/>
      <c r="C192" s="142"/>
      <c r="D192" s="142"/>
      <c r="E192" s="142"/>
      <c r="F192" s="142"/>
      <c r="G192" s="142"/>
      <c r="H192" s="142"/>
      <c r="I192" s="142"/>
      <c r="J192" s="142"/>
      <c r="K192" s="142"/>
      <c r="L192" s="142"/>
      <c r="M192" s="142"/>
      <c r="N192" s="142"/>
      <c r="O192" s="142"/>
      <c r="P192" s="142"/>
      <c r="Q192" s="142"/>
      <c r="R192" s="144"/>
      <c r="S192" s="142"/>
      <c r="T192" s="142"/>
      <c r="U192" s="142"/>
      <c r="V192" s="142"/>
      <c r="W192" s="142"/>
      <c r="X192" s="142"/>
      <c r="Y192" s="142"/>
      <c r="Z192" s="142"/>
      <c r="AA192" s="142"/>
      <c r="AB192" s="142"/>
      <c r="AC192" s="142"/>
      <c r="AD192" s="142"/>
      <c r="AE192" s="142"/>
      <c r="AF192" s="142"/>
      <c r="AG192" s="142"/>
      <c r="AH192" s="142"/>
      <c r="AI192" s="142"/>
    </row>
    <row r="193">
      <c r="A193" s="142"/>
      <c r="B193" s="142"/>
      <c r="C193" s="142"/>
      <c r="D193" s="142"/>
      <c r="E193" s="142"/>
      <c r="F193" s="142"/>
      <c r="G193" s="142"/>
      <c r="H193" s="142"/>
      <c r="I193" s="142"/>
      <c r="J193" s="142"/>
      <c r="K193" s="142"/>
      <c r="L193" s="142"/>
      <c r="M193" s="142"/>
      <c r="N193" s="142"/>
      <c r="O193" s="142"/>
      <c r="P193" s="142"/>
      <c r="Q193" s="142"/>
      <c r="R193" s="144"/>
      <c r="S193" s="142"/>
      <c r="T193" s="142"/>
      <c r="U193" s="142"/>
      <c r="V193" s="142"/>
      <c r="W193" s="142"/>
      <c r="X193" s="142"/>
      <c r="Y193" s="142"/>
      <c r="Z193" s="142"/>
      <c r="AA193" s="142"/>
      <c r="AB193" s="142"/>
      <c r="AC193" s="142"/>
      <c r="AD193" s="142"/>
      <c r="AE193" s="142"/>
      <c r="AF193" s="142"/>
      <c r="AG193" s="142"/>
      <c r="AH193" s="142"/>
      <c r="AI193" s="142"/>
    </row>
    <row r="194">
      <c r="A194" s="142"/>
      <c r="B194" s="142"/>
      <c r="C194" s="142"/>
      <c r="D194" s="142"/>
      <c r="E194" s="142"/>
      <c r="F194" s="142"/>
      <c r="G194" s="142"/>
      <c r="H194" s="142"/>
      <c r="I194" s="142"/>
      <c r="J194" s="142"/>
      <c r="K194" s="142"/>
      <c r="L194" s="142"/>
      <c r="M194" s="142"/>
      <c r="N194" s="142"/>
      <c r="O194" s="142"/>
      <c r="P194" s="142"/>
      <c r="Q194" s="142"/>
      <c r="R194" s="144"/>
      <c r="S194" s="142"/>
      <c r="T194" s="142"/>
      <c r="U194" s="142"/>
      <c r="V194" s="142"/>
      <c r="W194" s="142"/>
      <c r="X194" s="142"/>
      <c r="Y194" s="142"/>
      <c r="Z194" s="142"/>
      <c r="AA194" s="142"/>
      <c r="AB194" s="142"/>
      <c r="AC194" s="142"/>
      <c r="AD194" s="142"/>
      <c r="AE194" s="142"/>
      <c r="AF194" s="142"/>
      <c r="AG194" s="142"/>
      <c r="AH194" s="142"/>
      <c r="AI194" s="142"/>
    </row>
    <row r="195">
      <c r="A195" s="142"/>
      <c r="B195" s="142"/>
      <c r="C195" s="142"/>
      <c r="D195" s="142"/>
      <c r="E195" s="142"/>
      <c r="F195" s="142"/>
      <c r="G195" s="142"/>
      <c r="H195" s="142"/>
      <c r="I195" s="142"/>
      <c r="J195" s="142"/>
      <c r="K195" s="142"/>
      <c r="L195" s="142"/>
      <c r="M195" s="142"/>
      <c r="N195" s="142"/>
      <c r="O195" s="142"/>
      <c r="P195" s="142"/>
      <c r="Q195" s="142"/>
      <c r="R195" s="144"/>
      <c r="S195" s="142"/>
      <c r="T195" s="142"/>
      <c r="U195" s="142"/>
      <c r="V195" s="142"/>
      <c r="W195" s="142"/>
      <c r="X195" s="142"/>
      <c r="Y195" s="142"/>
      <c r="Z195" s="142"/>
      <c r="AA195" s="142"/>
      <c r="AB195" s="142"/>
      <c r="AC195" s="142"/>
      <c r="AD195" s="142"/>
      <c r="AE195" s="142"/>
      <c r="AF195" s="142"/>
      <c r="AG195" s="142"/>
      <c r="AH195" s="142"/>
      <c r="AI195" s="142"/>
    </row>
    <row r="196">
      <c r="A196" s="142"/>
      <c r="B196" s="142"/>
      <c r="C196" s="142"/>
      <c r="D196" s="142"/>
      <c r="E196" s="142"/>
      <c r="F196" s="142"/>
      <c r="G196" s="142"/>
      <c r="H196" s="142"/>
      <c r="I196" s="142"/>
      <c r="J196" s="142"/>
      <c r="K196" s="142"/>
      <c r="L196" s="142"/>
      <c r="M196" s="142"/>
      <c r="N196" s="142"/>
      <c r="O196" s="142"/>
      <c r="P196" s="142"/>
      <c r="Q196" s="142"/>
      <c r="R196" s="144"/>
      <c r="S196" s="142"/>
      <c r="T196" s="142"/>
      <c r="U196" s="142"/>
      <c r="V196" s="142"/>
      <c r="W196" s="142"/>
      <c r="X196" s="142"/>
      <c r="Y196" s="142"/>
      <c r="Z196" s="142"/>
      <c r="AA196" s="142"/>
      <c r="AB196" s="142"/>
      <c r="AC196" s="142"/>
      <c r="AD196" s="142"/>
      <c r="AE196" s="142"/>
      <c r="AF196" s="142"/>
      <c r="AG196" s="142"/>
      <c r="AH196" s="142"/>
      <c r="AI196" s="142"/>
    </row>
    <row r="197">
      <c r="A197" s="142"/>
      <c r="B197" s="142"/>
      <c r="C197" s="142"/>
      <c r="D197" s="142"/>
      <c r="E197" s="142"/>
      <c r="F197" s="142"/>
      <c r="G197" s="142"/>
      <c r="H197" s="142"/>
      <c r="I197" s="142"/>
      <c r="J197" s="142"/>
      <c r="K197" s="142"/>
      <c r="L197" s="142"/>
      <c r="M197" s="142"/>
      <c r="N197" s="142"/>
      <c r="O197" s="142"/>
      <c r="P197" s="142"/>
      <c r="Q197" s="142"/>
      <c r="R197" s="144"/>
      <c r="S197" s="142"/>
      <c r="T197" s="142"/>
      <c r="U197" s="142"/>
      <c r="V197" s="142"/>
      <c r="W197" s="142"/>
      <c r="X197" s="142"/>
      <c r="Y197" s="142"/>
      <c r="Z197" s="142"/>
      <c r="AA197" s="142"/>
      <c r="AB197" s="142"/>
      <c r="AC197" s="142"/>
      <c r="AD197" s="142"/>
      <c r="AE197" s="142"/>
      <c r="AF197" s="142"/>
      <c r="AG197" s="142"/>
      <c r="AH197" s="142"/>
      <c r="AI197" s="142"/>
    </row>
    <row r="198">
      <c r="A198" s="142"/>
      <c r="B198" s="142"/>
      <c r="C198" s="142"/>
      <c r="D198" s="142"/>
      <c r="E198" s="142"/>
      <c r="F198" s="142"/>
      <c r="G198" s="142"/>
      <c r="H198" s="142"/>
      <c r="I198" s="142"/>
      <c r="J198" s="142"/>
      <c r="K198" s="142"/>
      <c r="L198" s="142"/>
      <c r="M198" s="142"/>
      <c r="N198" s="142"/>
      <c r="O198" s="142"/>
      <c r="P198" s="142"/>
      <c r="Q198" s="142"/>
      <c r="R198" s="144"/>
      <c r="S198" s="142"/>
      <c r="T198" s="142"/>
      <c r="U198" s="142"/>
      <c r="V198" s="142"/>
      <c r="W198" s="142"/>
      <c r="X198" s="142"/>
      <c r="Y198" s="142"/>
      <c r="Z198" s="142"/>
      <c r="AA198" s="142"/>
      <c r="AB198" s="142"/>
      <c r="AC198" s="142"/>
      <c r="AD198" s="142"/>
      <c r="AE198" s="142"/>
      <c r="AF198" s="142"/>
      <c r="AG198" s="142"/>
      <c r="AH198" s="142"/>
      <c r="AI198" s="142"/>
    </row>
    <row r="199">
      <c r="A199" s="142"/>
      <c r="B199" s="142"/>
      <c r="C199" s="142"/>
      <c r="D199" s="142"/>
      <c r="E199" s="142"/>
      <c r="F199" s="142"/>
      <c r="G199" s="142"/>
      <c r="H199" s="142"/>
      <c r="I199" s="142"/>
      <c r="J199" s="142"/>
      <c r="K199" s="142"/>
      <c r="L199" s="142"/>
      <c r="M199" s="142"/>
      <c r="N199" s="142"/>
      <c r="O199" s="142"/>
      <c r="P199" s="142"/>
      <c r="Q199" s="142"/>
      <c r="R199" s="144"/>
      <c r="S199" s="142"/>
      <c r="T199" s="142"/>
      <c r="U199" s="142"/>
      <c r="V199" s="142"/>
      <c r="W199" s="142"/>
      <c r="X199" s="142"/>
      <c r="Y199" s="142"/>
      <c r="Z199" s="142"/>
      <c r="AA199" s="142"/>
      <c r="AB199" s="142"/>
      <c r="AC199" s="142"/>
      <c r="AD199" s="142"/>
      <c r="AE199" s="142"/>
      <c r="AF199" s="142"/>
      <c r="AG199" s="142"/>
      <c r="AH199" s="142"/>
      <c r="AI199" s="142"/>
    </row>
    <row r="200">
      <c r="A200" s="142"/>
      <c r="B200" s="142"/>
      <c r="C200" s="142"/>
      <c r="D200" s="142"/>
      <c r="E200" s="142"/>
      <c r="F200" s="142"/>
      <c r="G200" s="142"/>
      <c r="H200" s="142"/>
      <c r="I200" s="142"/>
      <c r="J200" s="142"/>
      <c r="K200" s="142"/>
      <c r="L200" s="142"/>
      <c r="M200" s="142"/>
      <c r="N200" s="142"/>
      <c r="O200" s="142"/>
      <c r="P200" s="142"/>
      <c r="Q200" s="142"/>
      <c r="R200" s="144"/>
      <c r="S200" s="142"/>
      <c r="T200" s="142"/>
      <c r="U200" s="142"/>
      <c r="V200" s="142"/>
      <c r="W200" s="142"/>
      <c r="X200" s="142"/>
      <c r="Y200" s="142"/>
      <c r="Z200" s="142"/>
      <c r="AA200" s="142"/>
      <c r="AB200" s="142"/>
      <c r="AC200" s="142"/>
      <c r="AD200" s="142"/>
      <c r="AE200" s="142"/>
      <c r="AF200" s="142"/>
      <c r="AG200" s="142"/>
      <c r="AH200" s="142"/>
      <c r="AI200" s="142"/>
    </row>
    <row r="201">
      <c r="A201" s="142"/>
      <c r="B201" s="142"/>
      <c r="C201" s="142"/>
      <c r="D201" s="142"/>
      <c r="E201" s="142"/>
      <c r="F201" s="142"/>
      <c r="G201" s="142"/>
      <c r="H201" s="142"/>
      <c r="I201" s="142"/>
      <c r="J201" s="142"/>
      <c r="K201" s="142"/>
      <c r="L201" s="142"/>
      <c r="M201" s="142"/>
      <c r="N201" s="142"/>
      <c r="O201" s="142"/>
      <c r="P201" s="142"/>
      <c r="Q201" s="142"/>
      <c r="R201" s="144"/>
      <c r="S201" s="142"/>
      <c r="T201" s="142"/>
      <c r="U201" s="142"/>
      <c r="V201" s="142"/>
      <c r="W201" s="142"/>
      <c r="X201" s="142"/>
      <c r="Y201" s="142"/>
      <c r="Z201" s="142"/>
      <c r="AA201" s="142"/>
      <c r="AB201" s="142"/>
      <c r="AC201" s="142"/>
      <c r="AD201" s="142"/>
      <c r="AE201" s="142"/>
      <c r="AF201" s="142"/>
      <c r="AG201" s="142"/>
      <c r="AH201" s="142"/>
      <c r="AI201" s="142"/>
    </row>
    <row r="202">
      <c r="A202" s="142"/>
      <c r="B202" s="142"/>
      <c r="C202" s="142"/>
      <c r="D202" s="142"/>
      <c r="E202" s="142"/>
      <c r="F202" s="142"/>
      <c r="G202" s="142"/>
      <c r="H202" s="142"/>
      <c r="I202" s="142"/>
      <c r="J202" s="142"/>
      <c r="K202" s="142"/>
      <c r="L202" s="142"/>
      <c r="M202" s="142"/>
      <c r="N202" s="142"/>
      <c r="O202" s="142"/>
      <c r="P202" s="142"/>
      <c r="Q202" s="142"/>
      <c r="R202" s="144"/>
      <c r="S202" s="142"/>
      <c r="T202" s="142"/>
      <c r="U202" s="142"/>
      <c r="V202" s="142"/>
      <c r="W202" s="142"/>
      <c r="X202" s="142"/>
      <c r="Y202" s="142"/>
      <c r="Z202" s="142"/>
      <c r="AA202" s="142"/>
      <c r="AB202" s="142"/>
      <c r="AC202" s="142"/>
      <c r="AD202" s="142"/>
      <c r="AE202" s="142"/>
      <c r="AF202" s="142"/>
      <c r="AG202" s="142"/>
      <c r="AH202" s="142"/>
      <c r="AI202" s="142"/>
    </row>
  </sheetData>
  <conditionalFormatting sqref="A1:H1">
    <cfRule type="colorScale" priority="1">
      <colorScale>
        <cfvo type="formula" val="0"/>
        <cfvo type="formula" val="50"/>
        <cfvo type="formula" val="100"/>
        <color rgb="FF1A1B2F"/>
        <color rgb="FF5F2EEA"/>
        <color rgb="FFB980F0"/>
      </colorScale>
    </cfRule>
  </conditionalFormatting>
  <dataValidations>
    <dataValidation type="list" allowBlank="1" showErrorMessage="1" sqref="D7:D60">
      <formula1>"Senin,Selasa,Rabu,Kamis,Jumat,Sabtu ,Minggu"</formula1>
    </dataValidation>
    <dataValidation type="list" allowBlank="1" showErrorMessage="1" sqref="C7:C60 O7:O60">
      <formula1>"Literasi Digital,Matematika Diskrit,Pancasila,Pemograman Dasar,Praktikum,Arsitektur Komputer dan Sistem Operasi,Aljabar Matriks,Matematika Dasar,Kalkulus Lanjut,Struktur Data dan Algoritma,Pendidikan Kewarganegaraan,Pendidikan Agama,Konservasi Sumber Daya"&amp;" Alam dan Lingkungan,Teori Probabilitas,Interaksi Manusia dan Komputer,Etika Kecerdasan Artifisial,Statistika Inferensial,Kecerdasan Artifisial,Keamanan dan Integritas Data,Pemrosesan Teks,Basis Data,Desain dan Analisis Algoritma,Pengolahan Sinyal Digital"&amp;",Bahasa Indonesia,Penambangan Data,Data Warehouse dan Komputasi Terdistribusi,Pengolahan Citra Digital,Analisis Multivariat,Pembelajaran Mesin Dasar,Rekayasa Perangkat Lunak,Pendidikan Jasmani dan Kebugaran,Tata Tulis Ilmiah,Komunikasi Publik,Kewirausahaa"&amp;"n,Pilihan 3,Pilihan 4,Pilihan 5,Pilihan 6,Creative Thinking,Bahasa Inggris,Manajemen Risiko,Pilihan 7,Etika Profesi,Kecerdasan Bisnis,SIM,Manajemen Proyek,Pilihan 8,Pembelajaran Mesin Lanjut,Analisis Big Data,Graf Sains Data,Pilihan 1,Pilihan 2,Proposal T"&amp;"ugas Akhir,Tugas Akhir"</formula1>
    </dataValidation>
    <dataValidation type="list" allowBlank="1" showErrorMessage="1" sqref="B7:B60 M7:M60 R7:R60">
      <formula1>"1,2,3,4,5,6,7,8"</formula1>
    </dataValidation>
    <dataValidation type="custom" allowBlank="1" showDropDown="1" sqref="N7:N60">
      <formula1>OR(NOT(ISERROR(DATEVALUE(N7))), AND(ISNUMBER(N7), LEFT(CELL("format", N7))="D"))</formula1>
    </dataValidation>
    <dataValidation type="list" allowBlank="1" sqref="P7:P60">
      <formula1>"Alfa,Sakit,Izin"</formula1>
    </dataValidation>
  </dataValidations>
  <hyperlinks>
    <hyperlink display="HOME" location="Home!A1" ref="A1"/>
    <hyperlink display="DASHBOARD" location="Dashboard!A1" ref="B1"/>
    <hyperlink display="ENTRY DATA" location="'Entry Data'!A1" ref="C1"/>
    <hyperlink display="DATA BASE" location="Database!A1" ref="D1"/>
    <hyperlink display="GRAPH" location="Graph!A1" ref="E1"/>
    <hyperlink display="JADWAL" location="'Jadwal Kuliah'!A1" ref="F1"/>
    <hyperlink display="KALENDER" location="'Kalender '!A1" ref="G1"/>
    <hyperlink display="TRACKER" location="'Tracking Matkul'!A1" ref="H1"/>
  </hyperlinks>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88"/>
    <col customWidth="1" min="3" max="3" width="22.63"/>
    <col customWidth="1" min="4" max="4" width="16.0"/>
    <col customWidth="1" min="5" max="5" width="19.13"/>
    <col customWidth="1" min="6" max="6" width="17.25"/>
    <col customWidth="1" min="7" max="7" width="13.5"/>
    <col customWidth="1" min="8" max="8" width="11.88"/>
    <col customWidth="1" min="9" max="9" width="12.25"/>
    <col customWidth="1" min="10" max="10" width="8.38"/>
    <col customWidth="1" min="11" max="11" width="9.13"/>
    <col customWidth="1" min="12" max="12" width="17.38"/>
    <col customWidth="1" min="13" max="13" width="14.38"/>
    <col customWidth="1" min="14" max="14" width="15.75"/>
    <col customWidth="1" min="17" max="17" width="15.88"/>
  </cols>
  <sheetData>
    <row r="1">
      <c r="A1" s="1" t="s">
        <v>0</v>
      </c>
      <c r="B1" s="3" t="s">
        <v>1</v>
      </c>
      <c r="C1" s="2" t="s">
        <v>2</v>
      </c>
      <c r="D1" s="2" t="s">
        <v>3</v>
      </c>
      <c r="E1" s="2" t="s">
        <v>4</v>
      </c>
      <c r="F1" s="2" t="s">
        <v>5</v>
      </c>
      <c r="G1" s="2" t="s">
        <v>6</v>
      </c>
      <c r="H1" s="2" t="s">
        <v>7</v>
      </c>
      <c r="I1" s="4"/>
      <c r="J1" s="4"/>
      <c r="K1" s="4"/>
      <c r="L1" s="4"/>
      <c r="M1" s="4"/>
      <c r="N1" s="4"/>
      <c r="O1" s="4"/>
      <c r="P1" s="4"/>
      <c r="Q1" s="4"/>
      <c r="R1" s="47" t="s">
        <v>8</v>
      </c>
      <c r="S1" s="4"/>
      <c r="T1" s="4"/>
      <c r="U1" s="4"/>
      <c r="V1" s="4"/>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0"/>
      <c r="BN1" s="120"/>
      <c r="BO1" s="120"/>
      <c r="BP1" s="120"/>
      <c r="BQ1" s="120"/>
      <c r="BR1" s="120"/>
      <c r="BS1" s="120"/>
      <c r="BT1" s="120"/>
    </row>
    <row r="2">
      <c r="A2" s="120"/>
      <c r="B2" s="4"/>
      <c r="C2" s="145"/>
      <c r="D2" s="145"/>
      <c r="E2" s="145"/>
      <c r="F2" s="145"/>
      <c r="G2" s="145"/>
      <c r="H2" s="146" t="s">
        <v>10</v>
      </c>
      <c r="I2" s="4"/>
      <c r="J2" s="4"/>
      <c r="K2" s="4"/>
      <c r="L2" s="48"/>
      <c r="M2" s="4"/>
      <c r="N2" s="4"/>
      <c r="O2" s="49"/>
      <c r="P2" s="4"/>
      <c r="Q2" s="4"/>
      <c r="R2" s="49"/>
      <c r="S2" s="4"/>
      <c r="T2" s="4"/>
      <c r="U2" s="5"/>
      <c r="V2" s="5"/>
      <c r="W2" s="121" t="s">
        <v>8</v>
      </c>
      <c r="X2" s="121"/>
      <c r="Y2" s="121"/>
      <c r="Z2" s="121"/>
      <c r="AA2" s="121"/>
      <c r="AB2" s="121" t="s">
        <v>8</v>
      </c>
      <c r="AC2" s="121"/>
      <c r="AD2" s="121"/>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1"/>
      <c r="BK2" s="121"/>
      <c r="BL2" s="121"/>
      <c r="BM2" s="121"/>
      <c r="BN2" s="121"/>
      <c r="BO2" s="121"/>
      <c r="BP2" s="121"/>
      <c r="BQ2" s="121"/>
      <c r="BR2" s="121"/>
      <c r="BS2" s="121"/>
      <c r="BT2" s="121"/>
    </row>
    <row r="3">
      <c r="A3" s="120"/>
      <c r="B3" s="4"/>
      <c r="C3" s="147" t="s">
        <v>198</v>
      </c>
      <c r="D3" s="148"/>
      <c r="E3" s="149"/>
      <c r="F3" s="150"/>
      <c r="G3" s="150"/>
      <c r="H3" s="150"/>
      <c r="I3" s="47" t="s">
        <v>8</v>
      </c>
      <c r="J3" s="4"/>
      <c r="K3" s="4"/>
      <c r="L3" s="48"/>
      <c r="M3" s="4"/>
      <c r="N3" s="4"/>
      <c r="O3" s="51" t="s">
        <v>8</v>
      </c>
      <c r="P3" s="4"/>
      <c r="Q3" s="4"/>
      <c r="R3" s="49"/>
      <c r="S3" s="4"/>
      <c r="T3" s="4"/>
      <c r="U3" s="5"/>
      <c r="V3" s="6" t="s">
        <v>8</v>
      </c>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row>
    <row r="4">
      <c r="A4" s="120"/>
      <c r="B4" s="50" t="s">
        <v>8</v>
      </c>
      <c r="C4" s="151"/>
      <c r="D4" s="152" t="s">
        <v>20</v>
      </c>
      <c r="E4" s="153" t="s">
        <v>199</v>
      </c>
      <c r="F4" s="150"/>
      <c r="G4" s="50" t="s">
        <v>9</v>
      </c>
      <c r="H4" s="145"/>
      <c r="I4" s="4"/>
      <c r="J4" s="4"/>
      <c r="K4" s="4"/>
      <c r="L4" s="48"/>
      <c r="M4" s="4"/>
      <c r="N4" s="4"/>
      <c r="O4" s="49"/>
      <c r="P4" s="4"/>
      <c r="Q4" s="4"/>
      <c r="R4" s="49"/>
      <c r="S4" s="4"/>
      <c r="T4" s="4"/>
      <c r="U4" s="5"/>
      <c r="V4" s="5"/>
      <c r="W4" s="120"/>
      <c r="X4" s="120"/>
      <c r="Y4" s="121" t="s">
        <v>8</v>
      </c>
      <c r="Z4" s="120"/>
      <c r="AA4" s="120"/>
      <c r="AB4" s="120"/>
      <c r="AC4" s="120"/>
      <c r="AD4" s="120"/>
      <c r="AE4" s="120"/>
      <c r="AF4" s="120"/>
      <c r="AG4" s="120"/>
      <c r="AH4" s="120"/>
      <c r="AI4" s="120"/>
      <c r="AJ4" s="120"/>
      <c r="AK4" s="120"/>
      <c r="AL4" s="120"/>
      <c r="AM4" s="120"/>
      <c r="AN4" s="120"/>
      <c r="AO4" s="120"/>
      <c r="AP4" s="120"/>
      <c r="AQ4" s="120"/>
      <c r="AR4" s="120"/>
      <c r="AS4" s="120"/>
      <c r="AT4" s="120"/>
      <c r="AU4" s="120"/>
      <c r="AV4" s="120"/>
      <c r="AW4" s="120"/>
      <c r="AX4" s="120"/>
      <c r="AY4" s="120"/>
      <c r="AZ4" s="120"/>
      <c r="BA4" s="120"/>
      <c r="BB4" s="120"/>
      <c r="BC4" s="120"/>
      <c r="BD4" s="120"/>
      <c r="BE4" s="120"/>
      <c r="BF4" s="120"/>
      <c r="BG4" s="120"/>
      <c r="BH4" s="120"/>
      <c r="BI4" s="120"/>
      <c r="BJ4" s="120"/>
      <c r="BK4" s="120"/>
      <c r="BL4" s="120"/>
      <c r="BM4" s="120"/>
      <c r="BN4" s="120"/>
      <c r="BO4" s="120"/>
      <c r="BP4" s="120"/>
      <c r="BQ4" s="120"/>
      <c r="BR4" s="120"/>
      <c r="BS4" s="120"/>
      <c r="BT4" s="120"/>
    </row>
    <row r="5">
      <c r="A5" s="120"/>
      <c r="B5" s="4"/>
      <c r="C5" s="6" t="s">
        <v>23</v>
      </c>
      <c r="D5" s="152"/>
      <c r="E5" s="154"/>
      <c r="F5" s="150"/>
      <c r="G5" s="145"/>
      <c r="H5" s="145"/>
      <c r="I5" s="4"/>
      <c r="J5" s="4"/>
      <c r="K5" s="4"/>
      <c r="L5" s="155" t="s">
        <v>8</v>
      </c>
      <c r="M5" s="4"/>
      <c r="N5" s="4"/>
      <c r="O5" s="49"/>
      <c r="P5" s="4"/>
      <c r="Q5" s="4"/>
      <c r="R5" s="156" t="s">
        <v>8</v>
      </c>
      <c r="S5" s="4"/>
      <c r="T5" s="4"/>
      <c r="U5" s="5"/>
      <c r="V5" s="5"/>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0"/>
    </row>
    <row r="6" ht="29.25" customHeight="1">
      <c r="A6" s="120"/>
      <c r="B6" s="120"/>
      <c r="C6" s="157"/>
      <c r="D6" s="158"/>
      <c r="E6" s="157"/>
      <c r="F6" s="157"/>
      <c r="G6" s="157"/>
      <c r="H6" s="157"/>
      <c r="I6" s="120"/>
      <c r="J6" s="4"/>
      <c r="K6" s="4"/>
      <c r="L6" s="120"/>
      <c r="M6" s="4"/>
      <c r="N6" s="4"/>
      <c r="O6" s="120"/>
      <c r="P6" s="4"/>
      <c r="Q6" s="4"/>
      <c r="R6" s="120"/>
      <c r="S6" s="4"/>
      <c r="T6" s="4"/>
      <c r="U6" s="120"/>
      <c r="V6" s="120"/>
      <c r="W6" s="121" t="s">
        <v>8</v>
      </c>
      <c r="X6" s="120"/>
      <c r="Y6" s="120"/>
      <c r="Z6" s="120"/>
      <c r="AA6" s="121" t="s">
        <v>8</v>
      </c>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c r="BS6" s="120"/>
      <c r="BT6" s="120"/>
    </row>
    <row r="7">
      <c r="A7" s="121" t="s">
        <v>8</v>
      </c>
      <c r="B7" s="120"/>
      <c r="C7" s="120"/>
      <c r="D7" s="120"/>
      <c r="E7" s="120"/>
      <c r="F7" s="121" t="s">
        <v>8</v>
      </c>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row>
    <row r="8">
      <c r="A8" s="120"/>
      <c r="B8" s="120"/>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row>
    <row r="9">
      <c r="A9" s="120"/>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row>
    <row r="10">
      <c r="A10" s="120"/>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row>
    <row r="11">
      <c r="A11" s="159"/>
      <c r="B11" s="160" t="s">
        <v>8</v>
      </c>
      <c r="G11" s="160"/>
      <c r="H11" s="9"/>
      <c r="I11" s="9"/>
      <c r="J11" s="160" t="s">
        <v>11</v>
      </c>
      <c r="K11" s="160" t="s">
        <v>201</v>
      </c>
      <c r="L11" s="9"/>
      <c r="M11" s="160" t="s">
        <v>8</v>
      </c>
      <c r="N11" s="9"/>
      <c r="O11" s="9"/>
      <c r="P11" s="9"/>
      <c r="Q11" s="9"/>
      <c r="R11" s="160" t="s">
        <v>8</v>
      </c>
      <c r="S11" s="162" t="s">
        <v>8</v>
      </c>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row>
    <row r="12">
      <c r="A12" s="159"/>
      <c r="B12" s="160"/>
      <c r="G12" s="160"/>
      <c r="H12" s="160"/>
      <c r="I12" s="160"/>
      <c r="J12" s="160"/>
      <c r="K12" s="160"/>
      <c r="L12" s="160"/>
      <c r="M12" s="9"/>
      <c r="N12" s="9"/>
      <c r="O12" s="9"/>
      <c r="P12" s="160"/>
      <c r="Q12" s="9"/>
      <c r="R12" s="9"/>
      <c r="S12" s="9"/>
      <c r="T12" s="9"/>
      <c r="U12" s="9"/>
      <c r="V12" s="160"/>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row>
    <row r="13" ht="22.5" customHeight="1">
      <c r="A13" s="159"/>
      <c r="B13" s="160"/>
      <c r="G13" s="160"/>
      <c r="H13" s="164" t="s">
        <v>41</v>
      </c>
      <c r="I13" s="164" t="s">
        <v>40</v>
      </c>
      <c r="J13" s="164" t="s">
        <v>124</v>
      </c>
      <c r="K13" s="164" t="s">
        <v>49</v>
      </c>
      <c r="L13" s="160" t="s">
        <v>202</v>
      </c>
      <c r="M13" s="9"/>
      <c r="N13" s="9"/>
      <c r="O13" s="9"/>
      <c r="P13" s="160" t="s">
        <v>8</v>
      </c>
      <c r="Q13" s="9"/>
      <c r="R13" s="9"/>
      <c r="S13" s="9"/>
      <c r="T13" s="9"/>
      <c r="U13" s="9"/>
      <c r="V13" s="160" t="s">
        <v>8</v>
      </c>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row>
    <row r="14">
      <c r="A14" s="165" t="s">
        <v>8</v>
      </c>
      <c r="B14" s="160"/>
      <c r="G14" s="160"/>
      <c r="H14" s="163" t="str">
        <f>IFERROR(__xludf.DUMMYFUNCTION("FILTER(
  {Database!C7:C624,Database!B7:B624,Database!H7:H624,Database!I7:I624},
  Database!C7:C624&lt;&gt;""""
)
"),"Literasi Digital")</f>
        <v>Literasi Digital</v>
      </c>
      <c r="I14" s="161">
        <f>IFERROR(__xludf.DUMMYFUNCTION("""COMPUTED_VALUE"""),1.0)</f>
        <v>1</v>
      </c>
      <c r="J14" s="166">
        <f>IFERROR(__xludf.DUMMYFUNCTION("""COMPUTED_VALUE"""),0.9230769230769231)</f>
        <v>0.9230769231</v>
      </c>
      <c r="K14" s="166">
        <f>IFERROR(__xludf.DUMMYFUNCTION("""COMPUTED_VALUE"""),0.8125)</f>
        <v>0.8125</v>
      </c>
      <c r="L14" s="160"/>
      <c r="M14" s="9"/>
      <c r="N14" s="160"/>
      <c r="O14" s="167"/>
      <c r="P14" s="9"/>
      <c r="Q14" s="9"/>
      <c r="R14" s="9"/>
      <c r="S14" s="160"/>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row>
    <row r="15">
      <c r="A15" s="159"/>
      <c r="B15" s="160"/>
      <c r="G15" s="9"/>
      <c r="H15" s="163" t="str">
        <f>IFERROR(__xludf.DUMMYFUNCTION("""COMPUTED_VALUE"""),"Matematika Diskrit")</f>
        <v>Matematika Diskrit</v>
      </c>
      <c r="I15" s="163">
        <f>IFERROR(__xludf.DUMMYFUNCTION("""COMPUTED_VALUE"""),1.0)</f>
        <v>1</v>
      </c>
      <c r="J15" s="168">
        <f>IFERROR(__xludf.DUMMYFUNCTION("""COMPUTED_VALUE"""),1.0)</f>
        <v>1</v>
      </c>
      <c r="K15" s="166">
        <f>IFERROR(__xludf.DUMMYFUNCTION("""COMPUTED_VALUE"""),0.8125)</f>
        <v>0.8125</v>
      </c>
      <c r="L15" s="160"/>
      <c r="M15" s="9"/>
      <c r="R15" s="9"/>
      <c r="S15" s="9"/>
      <c r="T15" s="9"/>
      <c r="U15" s="160"/>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row>
    <row r="16">
      <c r="A16" s="159"/>
      <c r="B16" s="160"/>
      <c r="G16" s="9"/>
      <c r="H16" s="163" t="str">
        <f>IFERROR(__xludf.DUMMYFUNCTION("""COMPUTED_VALUE"""),"Pancasila")</f>
        <v>Pancasila</v>
      </c>
      <c r="I16" s="161">
        <f>IFERROR(__xludf.DUMMYFUNCTION("""COMPUTED_VALUE"""),1.0)</f>
        <v>1</v>
      </c>
      <c r="J16" s="168">
        <f>IFERROR(__xludf.DUMMYFUNCTION("""COMPUTED_VALUE"""),1.0)</f>
        <v>1</v>
      </c>
      <c r="K16" s="168">
        <f>IFERROR(__xludf.DUMMYFUNCTION("""COMPUTED_VALUE"""),0.8125)</f>
        <v>0.8125</v>
      </c>
      <c r="L16" s="9"/>
      <c r="M16" s="9"/>
      <c r="R16" s="160"/>
      <c r="S16" s="9"/>
      <c r="T16" s="9"/>
      <c r="U16" s="9"/>
      <c r="V16" s="167"/>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row>
    <row r="17">
      <c r="A17" s="159"/>
      <c r="B17" s="160"/>
      <c r="G17" s="9"/>
      <c r="H17" s="161" t="str">
        <f>IFERROR(__xludf.DUMMYFUNCTION("""COMPUTED_VALUE"""),"Pemograman Dasar")</f>
        <v>Pemograman Dasar</v>
      </c>
      <c r="I17" s="163">
        <f>IFERROR(__xludf.DUMMYFUNCTION("""COMPUTED_VALUE"""),1.0)</f>
        <v>1</v>
      </c>
      <c r="J17" s="168">
        <f>IFERROR(__xludf.DUMMYFUNCTION("""COMPUTED_VALUE"""),0.8461538461538461)</f>
        <v>0.8461538462</v>
      </c>
      <c r="K17" s="168">
        <f>IFERROR(__xludf.DUMMYFUNCTION("""COMPUTED_VALUE"""),0.8125)</f>
        <v>0.8125</v>
      </c>
      <c r="L17" s="161"/>
      <c r="M17" s="9"/>
      <c r="R17" s="9"/>
      <c r="S17" s="9"/>
      <c r="T17" s="160"/>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row>
    <row r="18">
      <c r="A18" s="159"/>
      <c r="B18" s="9"/>
      <c r="G18" s="9"/>
      <c r="H18" s="163" t="str">
        <f>IFERROR(__xludf.DUMMYFUNCTION("""COMPUTED_VALUE"""),"Praktikum")</f>
        <v>Praktikum</v>
      </c>
      <c r="I18" s="163">
        <f>IFERROR(__xludf.DUMMYFUNCTION("""COMPUTED_VALUE"""),1.0)</f>
        <v>1</v>
      </c>
      <c r="J18" s="168">
        <f>IFERROR(__xludf.DUMMYFUNCTION("""COMPUTED_VALUE"""),1.0)</f>
        <v>1</v>
      </c>
      <c r="K18" s="166">
        <f>IFERROR(__xludf.DUMMYFUNCTION("""COMPUTED_VALUE"""),0.8125)</f>
        <v>0.8125</v>
      </c>
      <c r="L18" s="9"/>
      <c r="M18" s="9"/>
      <c r="R18" s="9"/>
      <c r="S18" s="160"/>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row>
    <row r="19">
      <c r="A19" s="159"/>
      <c r="B19" s="160" t="s">
        <v>8</v>
      </c>
      <c r="G19" s="9"/>
      <c r="H19" s="161" t="str">
        <f>IFERROR(__xludf.DUMMYFUNCTION("""COMPUTED_VALUE"""),"Arsitektur Komputer dan Sistem Operasi")</f>
        <v>Arsitektur Komputer dan Sistem Operasi</v>
      </c>
      <c r="I19" s="163">
        <f>IFERROR(__xludf.DUMMYFUNCTION("""COMPUTED_VALUE"""),1.0)</f>
        <v>1</v>
      </c>
      <c r="J19" s="168">
        <f>IFERROR(__xludf.DUMMYFUNCTION("""COMPUTED_VALUE"""),1.0)</f>
        <v>1</v>
      </c>
      <c r="K19" s="168">
        <f>IFERROR(__xludf.DUMMYFUNCTION("""COMPUTED_VALUE"""),0.8125)</f>
        <v>0.8125</v>
      </c>
      <c r="L19" s="9"/>
      <c r="M19" s="167"/>
      <c r="R19" s="9"/>
      <c r="S19" s="9"/>
      <c r="T19" s="9"/>
      <c r="U19" s="167"/>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row>
    <row r="20">
      <c r="A20" s="159"/>
      <c r="B20" s="160"/>
      <c r="G20" s="9"/>
      <c r="H20" s="163" t="str">
        <f>IFERROR(__xludf.DUMMYFUNCTION("""COMPUTED_VALUE"""),"Aljabar Matriks")</f>
        <v>Aljabar Matriks</v>
      </c>
      <c r="I20" s="163">
        <f>IFERROR(__xludf.DUMMYFUNCTION("""COMPUTED_VALUE"""),1.0)</f>
        <v>1</v>
      </c>
      <c r="J20" s="166">
        <f>IFERROR(__xludf.DUMMYFUNCTION("""COMPUTED_VALUE"""),1.0)</f>
        <v>1</v>
      </c>
      <c r="K20" s="168">
        <f>IFERROR(__xludf.DUMMYFUNCTION("""COMPUTED_VALUE"""),0.8125)</f>
        <v>0.8125</v>
      </c>
      <c r="L20" s="9"/>
      <c r="M20" s="9"/>
      <c r="R20" s="167"/>
      <c r="S20" s="9"/>
      <c r="T20" s="9"/>
      <c r="U20" s="9"/>
      <c r="V20" s="9"/>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0"/>
      <c r="BQ20" s="160"/>
      <c r="BR20" s="160"/>
      <c r="BS20" s="160"/>
      <c r="BT20" s="160"/>
    </row>
    <row r="21">
      <c r="A21" s="159"/>
      <c r="B21" s="162" t="s">
        <v>8</v>
      </c>
      <c r="C21" s="161"/>
      <c r="D21" s="170"/>
      <c r="E21" s="163"/>
      <c r="F21" s="163"/>
      <c r="G21" s="160"/>
      <c r="H21" s="163" t="str">
        <f>IFERROR(__xludf.DUMMYFUNCTION("""COMPUTED_VALUE"""),"Matematika Dasar")</f>
        <v>Matematika Dasar</v>
      </c>
      <c r="I21" s="163">
        <f>IFERROR(__xludf.DUMMYFUNCTION("""COMPUTED_VALUE"""),1.0)</f>
        <v>1</v>
      </c>
      <c r="J21" s="168">
        <f>IFERROR(__xludf.DUMMYFUNCTION("""COMPUTED_VALUE"""),1.0)</f>
        <v>1</v>
      </c>
      <c r="K21" s="168">
        <f>IFERROR(__xludf.DUMMYFUNCTION("""COMPUTED_VALUE"""),0.8125)</f>
        <v>0.8125</v>
      </c>
      <c r="L21" s="160"/>
      <c r="M21" s="9"/>
      <c r="R21" s="9"/>
      <c r="S21" s="9"/>
      <c r="T21" s="160"/>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row>
    <row r="22">
      <c r="A22" s="171"/>
      <c r="B22" s="172"/>
      <c r="C22" s="172"/>
      <c r="D22" s="172"/>
      <c r="E22" s="173"/>
      <c r="F22" s="172"/>
      <c r="G22" s="172"/>
      <c r="H22" s="174" t="str">
        <f>IFERROR(__xludf.DUMMYFUNCTION("""COMPUTED_VALUE"""),"Kalkulus Lanjut")</f>
        <v>Kalkulus Lanjut</v>
      </c>
      <c r="I22" s="175">
        <f>IFERROR(__xludf.DUMMYFUNCTION("""COMPUTED_VALUE"""),2.0)</f>
        <v>2</v>
      </c>
      <c r="J22" s="176" t="str">
        <f>IFERROR(__xludf.DUMMYFUNCTION("""COMPUTED_VALUE"""),"")</f>
        <v/>
      </c>
      <c r="K22" s="176" t="str">
        <f>IFERROR(__xludf.DUMMYFUNCTION("""COMPUTED_VALUE"""),"")</f>
        <v/>
      </c>
      <c r="L22" s="172"/>
      <c r="M22" s="172"/>
      <c r="R22" s="173"/>
      <c r="S22" s="172"/>
      <c r="T22" s="172"/>
      <c r="U22" s="179"/>
      <c r="V22" s="172"/>
      <c r="W22" s="172"/>
      <c r="X22" s="172"/>
      <c r="Y22" s="172"/>
      <c r="Z22" s="172"/>
      <c r="AA22" s="172"/>
      <c r="AB22" s="172"/>
      <c r="AC22" s="172"/>
      <c r="AD22" s="172"/>
      <c r="AE22" s="172"/>
      <c r="AF22" s="172"/>
      <c r="AG22" s="172"/>
      <c r="AH22" s="172"/>
      <c r="AI22" s="172"/>
      <c r="AJ22" s="172"/>
      <c r="AK22" s="172"/>
      <c r="AL22" s="172"/>
      <c r="AM22" s="172"/>
      <c r="AN22" s="172"/>
      <c r="AO22" s="172"/>
      <c r="AP22" s="172"/>
      <c r="AQ22" s="172"/>
      <c r="AR22" s="172"/>
      <c r="AS22" s="172"/>
      <c r="AT22" s="172"/>
      <c r="AU22" s="172"/>
      <c r="AV22" s="172"/>
      <c r="AW22" s="172"/>
      <c r="AX22" s="172"/>
      <c r="AY22" s="172"/>
      <c r="AZ22" s="172"/>
      <c r="BA22" s="172"/>
      <c r="BB22" s="172"/>
      <c r="BC22" s="172"/>
      <c r="BD22" s="172"/>
      <c r="BE22" s="172"/>
      <c r="BF22" s="172"/>
      <c r="BG22" s="172"/>
      <c r="BH22" s="172"/>
      <c r="BI22" s="172"/>
      <c r="BJ22" s="172"/>
      <c r="BK22" s="172"/>
      <c r="BL22" s="172"/>
      <c r="BM22" s="172"/>
      <c r="BN22" s="172"/>
      <c r="BO22" s="172"/>
      <c r="BP22" s="172"/>
      <c r="BQ22" s="172"/>
      <c r="BR22" s="172"/>
      <c r="BS22" s="172"/>
      <c r="BT22" s="172"/>
    </row>
    <row r="23">
      <c r="A23" s="171"/>
      <c r="B23" s="180" t="s">
        <v>8</v>
      </c>
      <c r="C23" s="180" t="s">
        <v>8</v>
      </c>
      <c r="D23" s="179" t="s">
        <v>8</v>
      </c>
      <c r="E23" s="172"/>
      <c r="F23" s="173" t="s">
        <v>8</v>
      </c>
      <c r="G23" s="172"/>
      <c r="H23" s="175" t="str">
        <f>IFERROR(__xludf.DUMMYFUNCTION("""COMPUTED_VALUE"""),"Struktur Data dan Algoritma")</f>
        <v>Struktur Data dan Algoritma</v>
      </c>
      <c r="I23" s="174">
        <f>IFERROR(__xludf.DUMMYFUNCTION("""COMPUTED_VALUE"""),2.0)</f>
        <v>2</v>
      </c>
      <c r="J23" s="176" t="str">
        <f>IFERROR(__xludf.DUMMYFUNCTION("""COMPUTED_VALUE"""),"")</f>
        <v/>
      </c>
      <c r="K23" s="181" t="str">
        <f>IFERROR(__xludf.DUMMYFUNCTION("""COMPUTED_VALUE"""),"")</f>
        <v/>
      </c>
      <c r="L23" s="172"/>
      <c r="M23" s="173"/>
      <c r="R23" s="172"/>
      <c r="S23" s="172"/>
      <c r="T23" s="172"/>
      <c r="U23" s="172"/>
      <c r="V23" s="172"/>
      <c r="W23" s="172"/>
      <c r="X23" s="172"/>
      <c r="Y23" s="172"/>
      <c r="Z23" s="172"/>
      <c r="AA23" s="172"/>
      <c r="AB23" s="172"/>
      <c r="AC23" s="172"/>
      <c r="AD23" s="172"/>
      <c r="AE23" s="172"/>
      <c r="AF23" s="172"/>
      <c r="AG23" s="172"/>
      <c r="AH23" s="172"/>
      <c r="AI23" s="172"/>
      <c r="AJ23" s="172"/>
      <c r="AK23" s="172"/>
      <c r="AL23" s="172"/>
      <c r="AM23" s="172"/>
      <c r="AN23" s="172"/>
      <c r="AO23" s="172"/>
      <c r="AP23" s="172"/>
      <c r="AQ23" s="172"/>
      <c r="AR23" s="172"/>
      <c r="AS23" s="172"/>
      <c r="AT23" s="172"/>
      <c r="AU23" s="172"/>
      <c r="AV23" s="172"/>
      <c r="AW23" s="172"/>
      <c r="AX23" s="172"/>
      <c r="AY23" s="172"/>
      <c r="AZ23" s="172"/>
      <c r="BA23" s="172"/>
      <c r="BB23" s="172"/>
      <c r="BC23" s="172"/>
      <c r="BD23" s="172"/>
      <c r="BE23" s="172"/>
      <c r="BF23" s="172"/>
      <c r="BG23" s="172"/>
      <c r="BH23" s="172"/>
      <c r="BI23" s="172"/>
      <c r="BJ23" s="172"/>
      <c r="BK23" s="172"/>
      <c r="BL23" s="172"/>
      <c r="BM23" s="172"/>
      <c r="BN23" s="172"/>
      <c r="BO23" s="172"/>
      <c r="BP23" s="172"/>
      <c r="BQ23" s="172"/>
      <c r="BR23" s="172"/>
      <c r="BS23" s="172"/>
      <c r="BT23" s="172"/>
    </row>
    <row r="24">
      <c r="A24" s="171"/>
      <c r="B24" s="173"/>
      <c r="C24" s="172"/>
      <c r="D24" s="172"/>
      <c r="E24" s="172"/>
      <c r="F24" s="173"/>
      <c r="G24" s="172"/>
      <c r="H24" s="174" t="str">
        <f>IFERROR(__xludf.DUMMYFUNCTION("""COMPUTED_VALUE"""),"Pendidikan Kewarganegaraan")</f>
        <v>Pendidikan Kewarganegaraan</v>
      </c>
      <c r="I24" s="174">
        <f>IFERROR(__xludf.DUMMYFUNCTION("""COMPUTED_VALUE"""),2.0)</f>
        <v>2</v>
      </c>
      <c r="J24" s="176" t="str">
        <f>IFERROR(__xludf.DUMMYFUNCTION("""COMPUTED_VALUE"""),"")</f>
        <v/>
      </c>
      <c r="K24" s="176" t="str">
        <f>IFERROR(__xludf.DUMMYFUNCTION("""COMPUTED_VALUE"""),"")</f>
        <v/>
      </c>
      <c r="L24" s="172"/>
      <c r="M24" s="172"/>
      <c r="R24" s="172"/>
      <c r="S24" s="173"/>
      <c r="T24" s="172"/>
      <c r="U24" s="173"/>
      <c r="V24" s="172"/>
      <c r="W24" s="172"/>
      <c r="X24" s="172"/>
      <c r="Y24" s="172"/>
      <c r="Z24" s="172"/>
      <c r="AA24" s="172"/>
      <c r="AB24" s="172"/>
      <c r="AC24" s="172"/>
      <c r="AD24" s="172"/>
      <c r="AE24" s="172"/>
      <c r="AF24" s="172"/>
      <c r="AG24" s="172"/>
      <c r="AH24" s="172"/>
      <c r="AI24" s="172"/>
      <c r="AJ24" s="172"/>
      <c r="AK24" s="172"/>
      <c r="AL24" s="172"/>
      <c r="AM24" s="172"/>
      <c r="AN24" s="172"/>
      <c r="AO24" s="172"/>
      <c r="AP24" s="172"/>
      <c r="AQ24" s="172"/>
      <c r="AR24" s="172"/>
      <c r="AS24" s="172"/>
      <c r="AT24" s="172"/>
      <c r="AU24" s="172"/>
      <c r="AV24" s="172"/>
      <c r="AW24" s="172"/>
      <c r="AX24" s="172"/>
      <c r="AY24" s="172"/>
      <c r="AZ24" s="172"/>
      <c r="BA24" s="172"/>
      <c r="BB24" s="172"/>
      <c r="BC24" s="172"/>
      <c r="BD24" s="172"/>
      <c r="BE24" s="172"/>
      <c r="BF24" s="172"/>
      <c r="BG24" s="172"/>
      <c r="BH24" s="172"/>
      <c r="BI24" s="172"/>
      <c r="BJ24" s="172"/>
      <c r="BK24" s="172"/>
      <c r="BL24" s="172"/>
      <c r="BM24" s="172"/>
      <c r="BN24" s="172"/>
      <c r="BO24" s="172"/>
      <c r="BP24" s="172"/>
      <c r="BQ24" s="172"/>
      <c r="BR24" s="172"/>
      <c r="BS24" s="172"/>
      <c r="BT24" s="172"/>
    </row>
    <row r="25">
      <c r="A25" s="171"/>
      <c r="B25" s="172"/>
      <c r="C25" s="172"/>
      <c r="D25" s="173" t="s">
        <v>8</v>
      </c>
      <c r="E25" s="173"/>
      <c r="F25" s="172"/>
      <c r="G25" s="172"/>
      <c r="H25" s="174" t="str">
        <f>IFERROR(__xludf.DUMMYFUNCTION("""COMPUTED_VALUE"""),"Pendidikan Agama")</f>
        <v>Pendidikan Agama</v>
      </c>
      <c r="I25" s="174">
        <f>IFERROR(__xludf.DUMMYFUNCTION("""COMPUTED_VALUE"""),2.0)</f>
        <v>2</v>
      </c>
      <c r="J25" s="181" t="str">
        <f>IFERROR(__xludf.DUMMYFUNCTION("""COMPUTED_VALUE"""),"")</f>
        <v/>
      </c>
      <c r="K25" s="176" t="str">
        <f>IFERROR(__xludf.DUMMYFUNCTION("""COMPUTED_VALUE"""),"")</f>
        <v/>
      </c>
      <c r="L25" s="172"/>
      <c r="M25" s="172"/>
      <c r="N25" s="172"/>
      <c r="O25" s="172"/>
      <c r="P25" s="172"/>
      <c r="Q25" s="172"/>
      <c r="R25" s="172"/>
      <c r="S25" s="172"/>
      <c r="T25" s="172"/>
      <c r="U25" s="172"/>
      <c r="V25" s="173"/>
      <c r="W25" s="172"/>
      <c r="X25" s="172"/>
      <c r="Y25" s="172"/>
      <c r="Z25" s="172"/>
      <c r="AA25" s="172"/>
      <c r="AB25" s="172"/>
      <c r="AC25" s="172"/>
      <c r="AD25" s="172"/>
      <c r="AE25" s="172"/>
      <c r="AF25" s="172"/>
      <c r="AG25" s="172"/>
      <c r="AH25" s="172"/>
      <c r="AI25" s="172"/>
      <c r="AJ25" s="172"/>
      <c r="AK25" s="172"/>
      <c r="AL25" s="172"/>
      <c r="AM25" s="172"/>
      <c r="AN25" s="172"/>
      <c r="AO25" s="172"/>
      <c r="AP25" s="172"/>
      <c r="AQ25" s="172"/>
      <c r="AR25" s="172"/>
      <c r="AS25" s="172"/>
      <c r="AT25" s="172"/>
      <c r="AU25" s="172"/>
      <c r="AV25" s="172"/>
      <c r="AW25" s="172"/>
      <c r="AX25" s="172"/>
      <c r="AY25" s="172"/>
      <c r="AZ25" s="172"/>
      <c r="BA25" s="172"/>
      <c r="BB25" s="172"/>
      <c r="BC25" s="172"/>
      <c r="BD25" s="172"/>
      <c r="BE25" s="172"/>
      <c r="BF25" s="172"/>
      <c r="BG25" s="172"/>
      <c r="BH25" s="172"/>
      <c r="BI25" s="172"/>
      <c r="BJ25" s="172"/>
      <c r="BK25" s="172"/>
      <c r="BL25" s="172"/>
      <c r="BM25" s="172"/>
      <c r="BN25" s="172"/>
      <c r="BO25" s="172"/>
      <c r="BP25" s="172"/>
      <c r="BQ25" s="172"/>
      <c r="BR25" s="172"/>
      <c r="BS25" s="172"/>
      <c r="BT25" s="172"/>
    </row>
    <row r="26">
      <c r="A26" s="171"/>
      <c r="B26" s="173" t="s">
        <v>8</v>
      </c>
      <c r="C26" s="180" t="s">
        <v>8</v>
      </c>
      <c r="D26" s="172"/>
      <c r="E26" s="172"/>
      <c r="F26" s="172"/>
      <c r="G26" s="172"/>
      <c r="H26" s="174" t="str">
        <f>IFERROR(__xludf.DUMMYFUNCTION("""COMPUTED_VALUE"""),"Konservasi Sumber Daya Alam dan Lingkungan")</f>
        <v>Konservasi Sumber Daya Alam dan Lingkungan</v>
      </c>
      <c r="I26" s="174">
        <f>IFERROR(__xludf.DUMMYFUNCTION("""COMPUTED_VALUE"""),2.0)</f>
        <v>2</v>
      </c>
      <c r="J26" s="176" t="str">
        <f>IFERROR(__xludf.DUMMYFUNCTION("""COMPUTED_VALUE"""),"")</f>
        <v/>
      </c>
      <c r="K26" s="176" t="str">
        <f>IFERROR(__xludf.DUMMYFUNCTION("""COMPUTED_VALUE"""),"")</f>
        <v/>
      </c>
      <c r="L26" s="172"/>
      <c r="M26" s="172"/>
      <c r="N26" s="172"/>
      <c r="O26" s="172"/>
      <c r="P26" s="172"/>
      <c r="Q26" s="172"/>
      <c r="R26" s="172"/>
      <c r="S26" s="172"/>
      <c r="T26" s="172"/>
      <c r="U26" s="172"/>
      <c r="V26" s="172"/>
      <c r="W26" s="172"/>
      <c r="X26" s="172"/>
      <c r="Y26" s="172"/>
      <c r="Z26" s="172"/>
      <c r="AA26" s="172"/>
      <c r="AB26" s="172"/>
      <c r="AC26" s="172"/>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2"/>
      <c r="AZ26" s="172"/>
      <c r="BA26" s="172"/>
      <c r="BB26" s="172"/>
      <c r="BC26" s="172"/>
      <c r="BD26" s="172"/>
      <c r="BE26" s="172"/>
      <c r="BF26" s="172"/>
      <c r="BG26" s="172"/>
      <c r="BH26" s="172"/>
      <c r="BI26" s="172"/>
      <c r="BJ26" s="172"/>
      <c r="BK26" s="172"/>
      <c r="BL26" s="172"/>
      <c r="BM26" s="172"/>
      <c r="BN26" s="172"/>
      <c r="BO26" s="172"/>
      <c r="BP26" s="172"/>
      <c r="BQ26" s="172"/>
      <c r="BR26" s="172"/>
      <c r="BS26" s="172"/>
      <c r="BT26" s="172"/>
    </row>
    <row r="27">
      <c r="A27" s="171"/>
      <c r="B27" s="172"/>
      <c r="C27" s="172"/>
      <c r="D27" s="172"/>
      <c r="E27" s="173" t="s">
        <v>8</v>
      </c>
      <c r="F27" s="172"/>
      <c r="G27" s="172"/>
      <c r="H27" s="174" t="str">
        <f>IFERROR(__xludf.DUMMYFUNCTION("""COMPUTED_VALUE"""),"Teori Probabilitas")</f>
        <v>Teori Probabilitas</v>
      </c>
      <c r="I27" s="174">
        <f>IFERROR(__xludf.DUMMYFUNCTION("""COMPUTED_VALUE"""),2.0)</f>
        <v>2</v>
      </c>
      <c r="J27" s="176" t="str">
        <f>IFERROR(__xludf.DUMMYFUNCTION("""COMPUTED_VALUE"""),"")</f>
        <v/>
      </c>
      <c r="K27" s="176" t="str">
        <f>IFERROR(__xludf.DUMMYFUNCTION("""COMPUTED_VALUE"""),"")</f>
        <v/>
      </c>
      <c r="L27" s="172"/>
      <c r="M27" s="172"/>
      <c r="N27" s="172"/>
      <c r="O27" s="172"/>
      <c r="P27" s="172"/>
      <c r="Q27" s="172"/>
      <c r="R27" s="172"/>
      <c r="S27" s="172"/>
      <c r="T27" s="172"/>
      <c r="U27" s="172"/>
      <c r="V27" s="172"/>
      <c r="W27" s="172"/>
      <c r="X27" s="172"/>
      <c r="Y27" s="172"/>
      <c r="Z27" s="172"/>
      <c r="AA27" s="172"/>
      <c r="AB27" s="172"/>
      <c r="AC27" s="172"/>
      <c r="AD27" s="172"/>
      <c r="AE27" s="172"/>
      <c r="AF27" s="172"/>
      <c r="AG27" s="172"/>
      <c r="AH27" s="172"/>
      <c r="AI27" s="172"/>
      <c r="AJ27" s="172"/>
      <c r="AK27" s="172"/>
      <c r="AL27" s="172"/>
      <c r="AM27" s="172"/>
      <c r="AN27" s="172"/>
      <c r="AO27" s="172"/>
      <c r="AP27" s="172"/>
      <c r="AQ27" s="172"/>
      <c r="AR27" s="172"/>
      <c r="AS27" s="172"/>
      <c r="AT27" s="172"/>
      <c r="AU27" s="172"/>
      <c r="AV27" s="172"/>
      <c r="AW27" s="172"/>
      <c r="AX27" s="172"/>
      <c r="AY27" s="172"/>
      <c r="AZ27" s="172"/>
      <c r="BA27" s="172"/>
      <c r="BB27" s="172"/>
      <c r="BC27" s="172"/>
      <c r="BD27" s="172"/>
      <c r="BE27" s="172"/>
      <c r="BF27" s="172"/>
      <c r="BG27" s="172"/>
      <c r="BH27" s="172"/>
      <c r="BI27" s="172"/>
      <c r="BJ27" s="172"/>
      <c r="BK27" s="172"/>
      <c r="BL27" s="172"/>
      <c r="BM27" s="172"/>
      <c r="BN27" s="172"/>
      <c r="BO27" s="172"/>
      <c r="BP27" s="172"/>
      <c r="BQ27" s="172"/>
      <c r="BR27" s="172"/>
      <c r="BS27" s="172"/>
      <c r="BT27" s="172"/>
    </row>
    <row r="28">
      <c r="A28" s="182" t="s">
        <v>8</v>
      </c>
      <c r="B28" s="172"/>
      <c r="C28" s="172"/>
      <c r="D28" s="172"/>
      <c r="E28" s="172"/>
      <c r="F28" s="172"/>
      <c r="G28" s="172"/>
      <c r="H28" s="174" t="str">
        <f>IFERROR(__xludf.DUMMYFUNCTION("""COMPUTED_VALUE"""),"Interaksi Manusia dan Komputer")</f>
        <v>Interaksi Manusia dan Komputer</v>
      </c>
      <c r="I28" s="174">
        <f>IFERROR(__xludf.DUMMYFUNCTION("""COMPUTED_VALUE"""),2.0)</f>
        <v>2</v>
      </c>
      <c r="J28" s="176" t="str">
        <f>IFERROR(__xludf.DUMMYFUNCTION("""COMPUTED_VALUE"""),"")</f>
        <v/>
      </c>
      <c r="K28" s="176" t="str">
        <f>IFERROR(__xludf.DUMMYFUNCTION("""COMPUTED_VALUE"""),"")</f>
        <v/>
      </c>
      <c r="L28" s="172"/>
      <c r="M28" s="172"/>
      <c r="N28" s="172"/>
      <c r="O28" s="172"/>
      <c r="P28" s="172"/>
      <c r="Q28" s="172"/>
      <c r="R28" s="172"/>
      <c r="S28" s="172"/>
      <c r="T28" s="172"/>
      <c r="U28" s="172"/>
      <c r="V28" s="172"/>
      <c r="W28" s="172"/>
      <c r="X28" s="172"/>
      <c r="Y28" s="172"/>
      <c r="Z28" s="172"/>
      <c r="AA28" s="172"/>
      <c r="AB28" s="172"/>
      <c r="AC28" s="172"/>
      <c r="AD28" s="172"/>
      <c r="AE28" s="172"/>
      <c r="AF28" s="172"/>
      <c r="AG28" s="172"/>
      <c r="AH28" s="172"/>
      <c r="AI28" s="172"/>
      <c r="AJ28" s="172"/>
      <c r="AK28" s="172"/>
      <c r="AL28" s="172"/>
      <c r="AM28" s="172"/>
      <c r="AN28" s="172"/>
      <c r="AO28" s="172"/>
      <c r="AP28" s="172"/>
      <c r="AQ28" s="172"/>
      <c r="AR28" s="172"/>
      <c r="AS28" s="172"/>
      <c r="AT28" s="172"/>
      <c r="AU28" s="172"/>
      <c r="AV28" s="172"/>
      <c r="AW28" s="172"/>
      <c r="AX28" s="172"/>
      <c r="AY28" s="172"/>
      <c r="AZ28" s="172"/>
      <c r="BA28" s="172"/>
      <c r="BB28" s="172"/>
      <c r="BC28" s="172"/>
      <c r="BD28" s="172"/>
      <c r="BE28" s="172"/>
      <c r="BF28" s="172"/>
      <c r="BG28" s="172"/>
      <c r="BH28" s="172"/>
      <c r="BI28" s="172"/>
      <c r="BJ28" s="172"/>
      <c r="BK28" s="172"/>
      <c r="BL28" s="172"/>
      <c r="BM28" s="172"/>
      <c r="BN28" s="172"/>
      <c r="BO28" s="172"/>
      <c r="BP28" s="172"/>
      <c r="BQ28" s="172"/>
      <c r="BR28" s="172"/>
      <c r="BS28" s="172"/>
      <c r="BT28" s="172"/>
    </row>
    <row r="29">
      <c r="A29" s="171"/>
      <c r="B29" s="172"/>
      <c r="C29" s="172"/>
      <c r="D29" s="172"/>
      <c r="E29" s="172"/>
      <c r="F29" s="172"/>
      <c r="G29" s="172"/>
      <c r="H29" s="174" t="str">
        <f>IFERROR(__xludf.DUMMYFUNCTION("""COMPUTED_VALUE"""),"Etika Kecerdasan Artifisial")</f>
        <v>Etika Kecerdasan Artifisial</v>
      </c>
      <c r="I29" s="174">
        <f>IFERROR(__xludf.DUMMYFUNCTION("""COMPUTED_VALUE"""),2.0)</f>
        <v>2</v>
      </c>
      <c r="J29" s="176" t="str">
        <f>IFERROR(__xludf.DUMMYFUNCTION("""COMPUTED_VALUE"""),"")</f>
        <v/>
      </c>
      <c r="K29" s="176" t="str">
        <f>IFERROR(__xludf.DUMMYFUNCTION("""COMPUTED_VALUE"""),"")</f>
        <v/>
      </c>
      <c r="L29" s="172"/>
      <c r="M29" s="172"/>
      <c r="N29" s="172"/>
      <c r="O29" s="172"/>
      <c r="P29" s="172"/>
      <c r="Q29" s="172"/>
      <c r="R29" s="172"/>
      <c r="S29" s="172"/>
      <c r="T29" s="172"/>
      <c r="U29" s="172"/>
      <c r="V29" s="172"/>
      <c r="W29" s="172"/>
      <c r="X29" s="172"/>
      <c r="Y29" s="172"/>
      <c r="Z29" s="172"/>
      <c r="AA29" s="172"/>
      <c r="AB29" s="172"/>
      <c r="AC29" s="172"/>
      <c r="AD29" s="172"/>
      <c r="AE29" s="172"/>
      <c r="AF29" s="172"/>
      <c r="AG29" s="172"/>
      <c r="AH29" s="172"/>
      <c r="AI29" s="172"/>
      <c r="AJ29" s="172"/>
      <c r="AK29" s="172"/>
      <c r="AL29" s="172"/>
      <c r="AM29" s="172"/>
      <c r="AN29" s="172"/>
      <c r="AO29" s="172"/>
      <c r="AP29" s="172"/>
      <c r="AQ29" s="172"/>
      <c r="AR29" s="172"/>
      <c r="AS29" s="172"/>
      <c r="AT29" s="172"/>
      <c r="AU29" s="172"/>
      <c r="AV29" s="172"/>
      <c r="AW29" s="172"/>
      <c r="AX29" s="172"/>
      <c r="AY29" s="172"/>
      <c r="AZ29" s="172"/>
      <c r="BA29" s="172"/>
      <c r="BB29" s="172"/>
      <c r="BC29" s="172"/>
      <c r="BD29" s="172"/>
      <c r="BE29" s="172"/>
      <c r="BF29" s="172"/>
      <c r="BG29" s="172"/>
      <c r="BH29" s="172"/>
      <c r="BI29" s="172"/>
      <c r="BJ29" s="172"/>
      <c r="BK29" s="172"/>
      <c r="BL29" s="172"/>
      <c r="BM29" s="172"/>
      <c r="BN29" s="172"/>
      <c r="BO29" s="172"/>
      <c r="BP29" s="172"/>
      <c r="BQ29" s="172"/>
      <c r="BR29" s="172"/>
      <c r="BS29" s="172"/>
      <c r="BT29" s="172"/>
    </row>
    <row r="30">
      <c r="A30" s="171"/>
      <c r="B30" s="172"/>
      <c r="C30" s="172"/>
      <c r="D30" s="172"/>
      <c r="E30" s="172"/>
      <c r="F30" s="172"/>
      <c r="G30" s="172"/>
      <c r="H30" s="174" t="str">
        <f>IFERROR(__xludf.DUMMYFUNCTION("""COMPUTED_VALUE"""),"Statistika Inferensial")</f>
        <v>Statistika Inferensial</v>
      </c>
      <c r="I30" s="174">
        <f>IFERROR(__xludf.DUMMYFUNCTION("""COMPUTED_VALUE"""),3.0)</f>
        <v>3</v>
      </c>
      <c r="J30" s="176" t="str">
        <f>IFERROR(__xludf.DUMMYFUNCTION("""COMPUTED_VALUE"""),"")</f>
        <v/>
      </c>
      <c r="K30" s="176" t="str">
        <f>IFERROR(__xludf.DUMMYFUNCTION("""COMPUTED_VALUE"""),"")</f>
        <v/>
      </c>
      <c r="L30" s="172"/>
      <c r="M30" s="172"/>
      <c r="N30" s="172"/>
      <c r="O30" s="172"/>
      <c r="P30" s="172"/>
      <c r="Q30" s="172"/>
      <c r="R30" s="172"/>
      <c r="S30" s="172"/>
      <c r="T30" s="172"/>
      <c r="U30" s="172"/>
      <c r="V30" s="172"/>
      <c r="W30" s="172"/>
      <c r="X30" s="172"/>
      <c r="Y30" s="172"/>
      <c r="Z30" s="172"/>
      <c r="AA30" s="172"/>
      <c r="AB30" s="172"/>
      <c r="AC30" s="172"/>
      <c r="AD30" s="172"/>
      <c r="AE30" s="172"/>
      <c r="AF30" s="172"/>
      <c r="AG30" s="172"/>
      <c r="AH30" s="172"/>
      <c r="AI30" s="172"/>
      <c r="AJ30" s="172"/>
      <c r="AK30" s="172"/>
      <c r="AL30" s="172"/>
      <c r="AM30" s="172"/>
      <c r="AN30" s="172"/>
      <c r="AO30" s="172"/>
      <c r="AP30" s="172"/>
      <c r="AQ30" s="172"/>
      <c r="AR30" s="172"/>
      <c r="AS30" s="172"/>
      <c r="AT30" s="172"/>
      <c r="AU30" s="172"/>
      <c r="AV30" s="172"/>
      <c r="AW30" s="172"/>
      <c r="AX30" s="172"/>
      <c r="AY30" s="172"/>
      <c r="AZ30" s="172"/>
      <c r="BA30" s="172"/>
      <c r="BB30" s="172"/>
      <c r="BC30" s="172"/>
      <c r="BD30" s="172"/>
      <c r="BE30" s="172"/>
      <c r="BF30" s="172"/>
      <c r="BG30" s="172"/>
      <c r="BH30" s="172"/>
      <c r="BI30" s="172"/>
      <c r="BJ30" s="172"/>
      <c r="BK30" s="172"/>
      <c r="BL30" s="172"/>
      <c r="BM30" s="172"/>
      <c r="BN30" s="172"/>
      <c r="BO30" s="172"/>
      <c r="BP30" s="172"/>
      <c r="BQ30" s="172"/>
      <c r="BR30" s="172"/>
      <c r="BS30" s="172"/>
      <c r="BT30" s="172"/>
    </row>
    <row r="31">
      <c r="A31" s="171"/>
      <c r="B31" s="172"/>
      <c r="C31" s="172"/>
      <c r="D31" s="172"/>
      <c r="E31" s="172"/>
      <c r="F31" s="172"/>
      <c r="G31" s="172"/>
      <c r="H31" s="174" t="str">
        <f>IFERROR(__xludf.DUMMYFUNCTION("""COMPUTED_VALUE"""),"Kecerdasan Artifisial")</f>
        <v>Kecerdasan Artifisial</v>
      </c>
      <c r="I31" s="174">
        <f>IFERROR(__xludf.DUMMYFUNCTION("""COMPUTED_VALUE"""),3.0)</f>
        <v>3</v>
      </c>
      <c r="J31" s="176" t="str">
        <f>IFERROR(__xludf.DUMMYFUNCTION("""COMPUTED_VALUE"""),"")</f>
        <v/>
      </c>
      <c r="K31" s="176" t="str">
        <f>IFERROR(__xludf.DUMMYFUNCTION("""COMPUTED_VALUE"""),"")</f>
        <v/>
      </c>
      <c r="L31" s="172"/>
      <c r="M31" s="172"/>
      <c r="N31" s="173"/>
      <c r="O31" s="172"/>
      <c r="P31" s="172"/>
      <c r="Q31" s="172"/>
      <c r="R31" s="172"/>
      <c r="S31" s="172"/>
      <c r="T31" s="172"/>
      <c r="U31" s="172"/>
      <c r="V31" s="172"/>
      <c r="W31" s="172"/>
      <c r="X31" s="172"/>
      <c r="Y31" s="172"/>
      <c r="Z31" s="172"/>
      <c r="AA31" s="172"/>
      <c r="AB31" s="172"/>
      <c r="AC31" s="172"/>
      <c r="AD31" s="172"/>
      <c r="AE31" s="172"/>
      <c r="AF31" s="172"/>
      <c r="AG31" s="172"/>
      <c r="AH31" s="172"/>
      <c r="AI31" s="172"/>
      <c r="AJ31" s="172"/>
      <c r="AK31" s="172"/>
      <c r="AL31" s="172"/>
      <c r="AM31" s="172"/>
      <c r="AN31" s="172"/>
      <c r="AO31" s="172"/>
      <c r="AP31" s="172"/>
      <c r="AQ31" s="172"/>
      <c r="AR31" s="172"/>
      <c r="AS31" s="172"/>
      <c r="AT31" s="172"/>
      <c r="AU31" s="172"/>
      <c r="AV31" s="172"/>
      <c r="AW31" s="172"/>
      <c r="AX31" s="172"/>
      <c r="AY31" s="172"/>
      <c r="AZ31" s="172"/>
      <c r="BA31" s="172"/>
      <c r="BB31" s="172"/>
      <c r="BC31" s="172"/>
      <c r="BD31" s="172"/>
      <c r="BE31" s="172"/>
      <c r="BF31" s="172"/>
      <c r="BG31" s="172"/>
      <c r="BH31" s="172"/>
      <c r="BI31" s="172"/>
      <c r="BJ31" s="172"/>
      <c r="BK31" s="172"/>
      <c r="BL31" s="172"/>
      <c r="BM31" s="172"/>
      <c r="BN31" s="172"/>
      <c r="BO31" s="172"/>
      <c r="BP31" s="172"/>
      <c r="BQ31" s="172"/>
      <c r="BR31" s="172"/>
      <c r="BS31" s="172"/>
      <c r="BT31" s="172"/>
    </row>
    <row r="32">
      <c r="A32" s="183"/>
      <c r="B32" s="184"/>
      <c r="C32" s="184"/>
      <c r="D32" s="184"/>
      <c r="E32" s="184"/>
      <c r="F32" s="184"/>
      <c r="G32" s="184"/>
      <c r="H32" s="185" t="str">
        <f>IFERROR(__xludf.DUMMYFUNCTION("""COMPUTED_VALUE"""),"Keamanan dan Integritas Data")</f>
        <v>Keamanan dan Integritas Data</v>
      </c>
      <c r="I32" s="185">
        <f>IFERROR(__xludf.DUMMYFUNCTION("""COMPUTED_VALUE"""),3.0)</f>
        <v>3</v>
      </c>
      <c r="J32" s="186" t="str">
        <f>IFERROR(__xludf.DUMMYFUNCTION("""COMPUTED_VALUE"""),"")</f>
        <v/>
      </c>
      <c r="K32" s="186" t="str">
        <f>IFERROR(__xludf.DUMMYFUNCTION("""COMPUTED_VALUE"""),"")</f>
        <v/>
      </c>
      <c r="L32" s="184"/>
      <c r="M32" s="184"/>
      <c r="N32" s="184"/>
      <c r="O32" s="184"/>
      <c r="P32" s="184"/>
      <c r="Q32" s="184"/>
      <c r="R32" s="184"/>
      <c r="S32" s="184"/>
      <c r="T32" s="184"/>
      <c r="U32" s="184"/>
      <c r="V32" s="184"/>
      <c r="W32" s="184"/>
      <c r="X32" s="184"/>
      <c r="Y32" s="184"/>
      <c r="Z32" s="184"/>
      <c r="AA32" s="184"/>
      <c r="AB32" s="184"/>
      <c r="AC32" s="184"/>
      <c r="AD32" s="184"/>
      <c r="AE32" s="184"/>
      <c r="AF32" s="184"/>
      <c r="AG32" s="184"/>
      <c r="AH32" s="184"/>
      <c r="AI32" s="184"/>
      <c r="AJ32" s="184"/>
      <c r="AK32" s="184"/>
      <c r="AL32" s="184"/>
      <c r="AM32" s="184"/>
      <c r="AN32" s="184"/>
      <c r="AO32" s="184"/>
      <c r="AP32" s="184"/>
      <c r="AQ32" s="184"/>
      <c r="AR32" s="184"/>
      <c r="AS32" s="184"/>
      <c r="AT32" s="184"/>
      <c r="AU32" s="184"/>
      <c r="AV32" s="184"/>
      <c r="AW32" s="184"/>
      <c r="AX32" s="184"/>
      <c r="AY32" s="184"/>
      <c r="AZ32" s="184"/>
      <c r="BA32" s="184"/>
      <c r="BB32" s="184"/>
      <c r="BC32" s="184"/>
      <c r="BD32" s="184"/>
      <c r="BE32" s="184"/>
      <c r="BF32" s="184"/>
      <c r="BG32" s="184"/>
      <c r="BH32" s="184"/>
      <c r="BI32" s="184"/>
      <c r="BJ32" s="184"/>
      <c r="BK32" s="184"/>
      <c r="BL32" s="184"/>
      <c r="BM32" s="184"/>
      <c r="BN32" s="184"/>
      <c r="BO32" s="184"/>
      <c r="BP32" s="184"/>
      <c r="BQ32" s="184"/>
      <c r="BR32" s="184"/>
      <c r="BS32" s="184"/>
      <c r="BT32" s="184"/>
    </row>
    <row r="33">
      <c r="A33" s="183"/>
      <c r="B33" s="184"/>
      <c r="E33" s="184"/>
      <c r="F33" s="184"/>
      <c r="G33" s="184"/>
      <c r="H33" s="185" t="str">
        <f>IFERROR(__xludf.DUMMYFUNCTION("""COMPUTED_VALUE"""),"Pemrosesan Teks")</f>
        <v>Pemrosesan Teks</v>
      </c>
      <c r="I33" s="185">
        <f>IFERROR(__xludf.DUMMYFUNCTION("""COMPUTED_VALUE"""),3.0)</f>
        <v>3</v>
      </c>
      <c r="J33" s="186" t="str">
        <f>IFERROR(__xludf.DUMMYFUNCTION("""COMPUTED_VALUE"""),"")</f>
        <v/>
      </c>
      <c r="K33" s="186" t="str">
        <f>IFERROR(__xludf.DUMMYFUNCTION("""COMPUTED_VALUE"""),"")</f>
        <v/>
      </c>
      <c r="L33" s="184"/>
      <c r="M33" s="184"/>
      <c r="N33" s="184"/>
      <c r="O33" s="184"/>
      <c r="P33" s="184"/>
      <c r="Q33" s="184"/>
      <c r="R33" s="184"/>
      <c r="S33" s="184"/>
      <c r="T33" s="184"/>
      <c r="U33" s="184"/>
      <c r="V33" s="184"/>
      <c r="W33" s="184"/>
      <c r="X33" s="184"/>
      <c r="Y33" s="184"/>
      <c r="Z33" s="184"/>
      <c r="AA33" s="184"/>
      <c r="AB33" s="184"/>
      <c r="AC33" s="184"/>
      <c r="AD33" s="184"/>
      <c r="AE33" s="184"/>
      <c r="AF33" s="184"/>
      <c r="AG33" s="184"/>
      <c r="AH33" s="184"/>
      <c r="AI33" s="184"/>
      <c r="AJ33" s="184"/>
      <c r="AK33" s="184"/>
      <c r="AL33" s="184"/>
      <c r="AM33" s="184"/>
      <c r="AN33" s="184"/>
      <c r="AO33" s="184"/>
      <c r="AP33" s="184"/>
      <c r="AQ33" s="184"/>
      <c r="AR33" s="184"/>
      <c r="AS33" s="184"/>
      <c r="AT33" s="184"/>
      <c r="AU33" s="184"/>
      <c r="AV33" s="184"/>
      <c r="AW33" s="184"/>
      <c r="AX33" s="184"/>
      <c r="AY33" s="184"/>
      <c r="AZ33" s="184"/>
      <c r="BA33" s="184"/>
      <c r="BB33" s="184"/>
      <c r="BC33" s="184"/>
      <c r="BD33" s="184"/>
      <c r="BE33" s="184"/>
      <c r="BF33" s="184"/>
      <c r="BG33" s="184"/>
      <c r="BH33" s="184"/>
      <c r="BI33" s="184"/>
      <c r="BJ33" s="184"/>
      <c r="BK33" s="184"/>
      <c r="BL33" s="184"/>
      <c r="BM33" s="184"/>
      <c r="BN33" s="184"/>
      <c r="BO33" s="184"/>
      <c r="BP33" s="184"/>
      <c r="BQ33" s="184"/>
      <c r="BR33" s="184"/>
      <c r="BS33" s="184"/>
      <c r="BT33" s="184"/>
    </row>
    <row r="34">
      <c r="A34" s="183"/>
      <c r="B34" s="184"/>
      <c r="E34" s="184"/>
      <c r="F34" s="184"/>
      <c r="G34" s="184"/>
      <c r="H34" s="185" t="str">
        <f>IFERROR(__xludf.DUMMYFUNCTION("""COMPUTED_VALUE"""),"Basis Data")</f>
        <v>Basis Data</v>
      </c>
      <c r="I34" s="185">
        <f>IFERROR(__xludf.DUMMYFUNCTION("""COMPUTED_VALUE"""),3.0)</f>
        <v>3</v>
      </c>
      <c r="J34" s="186" t="str">
        <f>IFERROR(__xludf.DUMMYFUNCTION("""COMPUTED_VALUE"""),"")</f>
        <v/>
      </c>
      <c r="K34" s="186" t="str">
        <f>IFERROR(__xludf.DUMMYFUNCTION("""COMPUTED_VALUE"""),"")</f>
        <v/>
      </c>
      <c r="L34" s="184"/>
      <c r="M34" s="184"/>
      <c r="N34" s="184"/>
      <c r="O34" s="184"/>
      <c r="P34" s="184"/>
      <c r="Q34" s="184"/>
      <c r="R34" s="184"/>
      <c r="S34" s="184"/>
      <c r="T34" s="184"/>
      <c r="U34" s="184"/>
      <c r="V34" s="184"/>
      <c r="W34" s="184"/>
      <c r="X34" s="184"/>
      <c r="Y34" s="184"/>
      <c r="Z34" s="184"/>
      <c r="AA34" s="184"/>
      <c r="AB34" s="184"/>
      <c r="AC34" s="184"/>
      <c r="AD34" s="184"/>
      <c r="AE34" s="184"/>
      <c r="AF34" s="184"/>
      <c r="AG34" s="184"/>
      <c r="AH34" s="184"/>
      <c r="AI34" s="184"/>
      <c r="AJ34" s="184"/>
      <c r="AK34" s="184"/>
      <c r="AL34" s="184"/>
      <c r="AM34" s="184"/>
      <c r="AN34" s="184"/>
      <c r="AO34" s="184"/>
      <c r="AP34" s="184"/>
      <c r="AQ34" s="184"/>
      <c r="AR34" s="184"/>
      <c r="AS34" s="184"/>
      <c r="AT34" s="184"/>
      <c r="AU34" s="184"/>
      <c r="AV34" s="184"/>
      <c r="AW34" s="184"/>
      <c r="AX34" s="184"/>
      <c r="AY34" s="184"/>
      <c r="AZ34" s="184"/>
      <c r="BA34" s="184"/>
      <c r="BB34" s="184"/>
      <c r="BC34" s="184"/>
      <c r="BD34" s="184"/>
      <c r="BE34" s="184"/>
      <c r="BF34" s="184"/>
      <c r="BG34" s="184"/>
      <c r="BH34" s="184"/>
      <c r="BI34" s="184"/>
      <c r="BJ34" s="184"/>
      <c r="BK34" s="184"/>
      <c r="BL34" s="184"/>
      <c r="BM34" s="184"/>
      <c r="BN34" s="184"/>
      <c r="BO34" s="184"/>
      <c r="BP34" s="184"/>
      <c r="BQ34" s="184"/>
      <c r="BR34" s="184"/>
      <c r="BS34" s="184"/>
      <c r="BT34" s="184"/>
    </row>
    <row r="35">
      <c r="A35" s="187" t="s">
        <v>8</v>
      </c>
      <c r="B35" s="184"/>
      <c r="E35" s="184"/>
      <c r="F35" s="184"/>
      <c r="G35" s="184"/>
      <c r="H35" s="185" t="str">
        <f>IFERROR(__xludf.DUMMYFUNCTION("""COMPUTED_VALUE"""),"Desain dan Analisis Algoritma")</f>
        <v>Desain dan Analisis Algoritma</v>
      </c>
      <c r="I35" s="185">
        <f>IFERROR(__xludf.DUMMYFUNCTION("""COMPUTED_VALUE"""),3.0)</f>
        <v>3</v>
      </c>
      <c r="J35" s="186" t="str">
        <f>IFERROR(__xludf.DUMMYFUNCTION("""COMPUTED_VALUE"""),"")</f>
        <v/>
      </c>
      <c r="K35" s="186" t="str">
        <f>IFERROR(__xludf.DUMMYFUNCTION("""COMPUTED_VALUE"""),"")</f>
        <v/>
      </c>
      <c r="L35" s="184"/>
      <c r="M35" s="184"/>
      <c r="N35" s="184"/>
      <c r="O35" s="184"/>
      <c r="P35" s="184"/>
      <c r="Q35" s="184"/>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4"/>
      <c r="BJ35" s="184"/>
      <c r="BK35" s="184"/>
      <c r="BL35" s="184"/>
      <c r="BM35" s="184"/>
      <c r="BN35" s="184"/>
      <c r="BO35" s="184"/>
      <c r="BP35" s="184"/>
      <c r="BQ35" s="184"/>
      <c r="BR35" s="184"/>
      <c r="BS35" s="184"/>
      <c r="BT35" s="184"/>
    </row>
    <row r="36">
      <c r="A36" s="183"/>
      <c r="B36" s="184"/>
      <c r="E36" s="184"/>
      <c r="F36" s="184"/>
      <c r="G36" s="184"/>
      <c r="H36" s="185" t="str">
        <f>IFERROR(__xludf.DUMMYFUNCTION("""COMPUTED_VALUE"""),"Pengolahan Sinyal Digital")</f>
        <v>Pengolahan Sinyal Digital</v>
      </c>
      <c r="I36" s="185">
        <f>IFERROR(__xludf.DUMMYFUNCTION("""COMPUTED_VALUE"""),3.0)</f>
        <v>3</v>
      </c>
      <c r="J36" s="186" t="str">
        <f>IFERROR(__xludf.DUMMYFUNCTION("""COMPUTED_VALUE"""),"")</f>
        <v/>
      </c>
      <c r="K36" s="186" t="str">
        <f>IFERROR(__xludf.DUMMYFUNCTION("""COMPUTED_VALUE"""),"")</f>
        <v/>
      </c>
      <c r="L36" s="184"/>
      <c r="M36" s="184"/>
      <c r="N36" s="184"/>
      <c r="O36" s="184"/>
      <c r="P36" s="184"/>
      <c r="Q36" s="184"/>
      <c r="R36" s="184"/>
      <c r="S36" s="184"/>
      <c r="T36" s="184"/>
      <c r="U36" s="184"/>
      <c r="V36" s="184"/>
      <c r="W36" s="184"/>
      <c r="X36" s="184"/>
      <c r="Y36" s="184"/>
      <c r="Z36" s="184"/>
      <c r="AA36" s="184"/>
      <c r="AB36" s="184"/>
      <c r="AC36" s="184"/>
      <c r="AD36" s="184"/>
      <c r="AE36" s="184"/>
      <c r="AF36" s="184"/>
      <c r="AG36" s="184"/>
      <c r="AH36" s="184"/>
      <c r="AI36" s="184"/>
      <c r="AJ36" s="184"/>
      <c r="AK36" s="184"/>
      <c r="AL36" s="184"/>
      <c r="AM36" s="184"/>
      <c r="AN36" s="184"/>
      <c r="AO36" s="184"/>
      <c r="AP36" s="184"/>
      <c r="AQ36" s="184"/>
      <c r="AR36" s="184"/>
      <c r="AS36" s="184"/>
      <c r="AT36" s="184"/>
      <c r="AU36" s="184"/>
      <c r="AV36" s="184"/>
      <c r="AW36" s="184"/>
      <c r="AX36" s="184"/>
      <c r="AY36" s="184"/>
      <c r="AZ36" s="184"/>
      <c r="BA36" s="184"/>
      <c r="BB36" s="184"/>
      <c r="BC36" s="184"/>
      <c r="BD36" s="184"/>
      <c r="BE36" s="184"/>
      <c r="BF36" s="184"/>
      <c r="BG36" s="184"/>
      <c r="BH36" s="184"/>
      <c r="BI36" s="184"/>
      <c r="BJ36" s="184"/>
      <c r="BK36" s="184"/>
      <c r="BL36" s="184"/>
      <c r="BM36" s="184"/>
      <c r="BN36" s="184"/>
      <c r="BO36" s="184"/>
      <c r="BP36" s="184"/>
      <c r="BQ36" s="184"/>
      <c r="BR36" s="184"/>
      <c r="BS36" s="184"/>
      <c r="BT36" s="184"/>
    </row>
    <row r="37">
      <c r="A37" s="183"/>
      <c r="B37" s="184"/>
      <c r="E37" s="184"/>
      <c r="F37" s="184"/>
      <c r="G37" s="184"/>
      <c r="H37" s="185" t="str">
        <f>IFERROR(__xludf.DUMMYFUNCTION("""COMPUTED_VALUE"""),"Bahasa Indonesia")</f>
        <v>Bahasa Indonesia</v>
      </c>
      <c r="I37" s="185">
        <f>IFERROR(__xludf.DUMMYFUNCTION("""COMPUTED_VALUE"""),3.0)</f>
        <v>3</v>
      </c>
      <c r="J37" s="186" t="str">
        <f>IFERROR(__xludf.DUMMYFUNCTION("""COMPUTED_VALUE"""),"")</f>
        <v/>
      </c>
      <c r="K37" s="186" t="str">
        <f>IFERROR(__xludf.DUMMYFUNCTION("""COMPUTED_VALUE"""),"")</f>
        <v/>
      </c>
      <c r="L37" s="184"/>
      <c r="M37" s="184"/>
      <c r="N37" s="184"/>
      <c r="O37" s="184"/>
      <c r="P37" s="184"/>
      <c r="Q37" s="184"/>
      <c r="R37" s="184"/>
      <c r="S37" s="184"/>
      <c r="T37" s="184"/>
      <c r="U37" s="184"/>
      <c r="V37" s="184"/>
      <c r="W37" s="184"/>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4"/>
      <c r="BK37" s="184"/>
      <c r="BL37" s="184"/>
      <c r="BM37" s="184"/>
      <c r="BN37" s="184"/>
      <c r="BO37" s="184"/>
      <c r="BP37" s="184"/>
      <c r="BQ37" s="184"/>
      <c r="BR37" s="184"/>
      <c r="BS37" s="184"/>
      <c r="BT37" s="184"/>
    </row>
    <row r="38">
      <c r="A38" s="183"/>
      <c r="B38" s="184"/>
      <c r="E38" s="184"/>
      <c r="F38" s="184"/>
      <c r="G38" s="184"/>
      <c r="H38" s="185" t="str">
        <f>IFERROR(__xludf.DUMMYFUNCTION("""COMPUTED_VALUE"""),"Penambangan Data")</f>
        <v>Penambangan Data</v>
      </c>
      <c r="I38" s="185">
        <f>IFERROR(__xludf.DUMMYFUNCTION("""COMPUTED_VALUE"""),4.0)</f>
        <v>4</v>
      </c>
      <c r="J38" s="186" t="str">
        <f>IFERROR(__xludf.DUMMYFUNCTION("""COMPUTED_VALUE"""),"")</f>
        <v/>
      </c>
      <c r="K38" s="186" t="str">
        <f>IFERROR(__xludf.DUMMYFUNCTION("""COMPUTED_VALUE"""),"")</f>
        <v/>
      </c>
      <c r="L38" s="184"/>
      <c r="M38" s="184"/>
      <c r="N38" s="184"/>
      <c r="O38" s="184"/>
      <c r="P38" s="184"/>
      <c r="Q38" s="184"/>
      <c r="R38" s="184"/>
      <c r="S38" s="184"/>
      <c r="T38" s="184"/>
      <c r="U38" s="184"/>
      <c r="V38" s="184"/>
      <c r="W38" s="184"/>
      <c r="X38" s="184"/>
      <c r="Y38" s="184"/>
      <c r="Z38" s="184"/>
      <c r="AA38" s="184"/>
      <c r="AB38" s="184"/>
      <c r="AC38" s="184"/>
      <c r="AD38" s="184"/>
      <c r="AE38" s="184"/>
      <c r="AF38" s="184"/>
      <c r="AG38" s="184"/>
      <c r="AH38" s="184"/>
      <c r="AI38" s="184"/>
      <c r="AJ38" s="184"/>
      <c r="AK38" s="184"/>
      <c r="AL38" s="184"/>
      <c r="AM38" s="184"/>
      <c r="AN38" s="184"/>
      <c r="AO38" s="184"/>
      <c r="AP38" s="184"/>
      <c r="AQ38" s="184"/>
      <c r="AR38" s="184"/>
      <c r="AS38" s="184"/>
      <c r="AT38" s="184"/>
      <c r="AU38" s="184"/>
      <c r="AV38" s="184"/>
      <c r="AW38" s="184"/>
      <c r="AX38" s="184"/>
      <c r="AY38" s="184"/>
      <c r="AZ38" s="184"/>
      <c r="BA38" s="184"/>
      <c r="BB38" s="184"/>
      <c r="BC38" s="184"/>
      <c r="BD38" s="184"/>
      <c r="BE38" s="184"/>
      <c r="BF38" s="184"/>
      <c r="BG38" s="184"/>
      <c r="BH38" s="184"/>
      <c r="BI38" s="184"/>
      <c r="BJ38" s="184"/>
      <c r="BK38" s="184"/>
      <c r="BL38" s="184"/>
      <c r="BM38" s="184"/>
      <c r="BN38" s="184"/>
      <c r="BO38" s="184"/>
      <c r="BP38" s="184"/>
      <c r="BQ38" s="184"/>
      <c r="BR38" s="184"/>
      <c r="BS38" s="184"/>
      <c r="BT38" s="184"/>
    </row>
    <row r="39">
      <c r="A39" s="188" t="s">
        <v>8</v>
      </c>
      <c r="B39" s="184"/>
      <c r="E39" s="184"/>
      <c r="F39" s="184"/>
      <c r="G39" s="184"/>
      <c r="H39" s="185" t="str">
        <f>IFERROR(__xludf.DUMMYFUNCTION("""COMPUTED_VALUE"""),"Data Warehouse dan Komputasi Terdistribusi")</f>
        <v>Data Warehouse dan Komputasi Terdistribusi</v>
      </c>
      <c r="I39" s="185">
        <f>IFERROR(__xludf.DUMMYFUNCTION("""COMPUTED_VALUE"""),4.0)</f>
        <v>4</v>
      </c>
      <c r="J39" s="186" t="str">
        <f>IFERROR(__xludf.DUMMYFUNCTION("""COMPUTED_VALUE"""),"")</f>
        <v/>
      </c>
      <c r="K39" s="186" t="str">
        <f>IFERROR(__xludf.DUMMYFUNCTION("""COMPUTED_VALUE"""),"")</f>
        <v/>
      </c>
      <c r="L39" s="184"/>
      <c r="M39" s="184"/>
      <c r="N39" s="184"/>
      <c r="O39" s="184"/>
      <c r="P39" s="184"/>
      <c r="Q39" s="184"/>
      <c r="R39" s="184"/>
      <c r="S39" s="184"/>
      <c r="T39" s="184"/>
      <c r="U39" s="184"/>
      <c r="V39" s="184"/>
      <c r="W39" s="184"/>
      <c r="X39" s="184"/>
      <c r="Y39" s="184"/>
      <c r="Z39" s="184"/>
      <c r="AA39" s="184"/>
      <c r="AB39" s="184"/>
      <c r="AC39" s="184"/>
      <c r="AD39" s="184"/>
      <c r="AE39" s="184"/>
      <c r="AF39" s="184"/>
      <c r="AG39" s="184"/>
      <c r="AH39" s="184"/>
      <c r="AI39" s="184"/>
      <c r="AJ39" s="184"/>
      <c r="AK39" s="184"/>
      <c r="AL39" s="184"/>
      <c r="AM39" s="184"/>
      <c r="AN39" s="184"/>
      <c r="AO39" s="184"/>
      <c r="AP39" s="184"/>
      <c r="AQ39" s="184"/>
      <c r="AR39" s="184"/>
      <c r="AS39" s="184"/>
      <c r="AT39" s="184"/>
      <c r="AU39" s="184"/>
      <c r="AV39" s="184"/>
      <c r="AW39" s="184"/>
      <c r="AX39" s="184"/>
      <c r="AY39" s="184"/>
      <c r="AZ39" s="184"/>
      <c r="BA39" s="184"/>
      <c r="BB39" s="184"/>
      <c r="BC39" s="184"/>
      <c r="BD39" s="184"/>
      <c r="BE39" s="184"/>
      <c r="BF39" s="184"/>
      <c r="BG39" s="184"/>
      <c r="BH39" s="184"/>
      <c r="BI39" s="184"/>
      <c r="BJ39" s="184"/>
      <c r="BK39" s="184"/>
      <c r="BL39" s="184"/>
      <c r="BM39" s="184"/>
      <c r="BN39" s="184"/>
      <c r="BO39" s="184"/>
      <c r="BP39" s="184"/>
      <c r="BQ39" s="184"/>
      <c r="BR39" s="184"/>
      <c r="BS39" s="184"/>
      <c r="BT39" s="184"/>
    </row>
    <row r="40">
      <c r="A40" s="183"/>
      <c r="B40" s="184"/>
      <c r="E40" s="184"/>
      <c r="F40" s="184"/>
      <c r="G40" s="184"/>
      <c r="H40" s="185" t="str">
        <f>IFERROR(__xludf.DUMMYFUNCTION("""COMPUTED_VALUE"""),"Pengolahan Citra Digital")</f>
        <v>Pengolahan Citra Digital</v>
      </c>
      <c r="I40" s="185">
        <f>IFERROR(__xludf.DUMMYFUNCTION("""COMPUTED_VALUE"""),4.0)</f>
        <v>4</v>
      </c>
      <c r="J40" s="186" t="str">
        <f>IFERROR(__xludf.DUMMYFUNCTION("""COMPUTED_VALUE"""),"")</f>
        <v/>
      </c>
      <c r="K40" s="186" t="str">
        <f>IFERROR(__xludf.DUMMYFUNCTION("""COMPUTED_VALUE"""),"")</f>
        <v/>
      </c>
      <c r="L40" s="184"/>
      <c r="M40" s="184"/>
      <c r="N40" s="184"/>
      <c r="O40" s="184"/>
      <c r="P40" s="184"/>
      <c r="Q40" s="184"/>
      <c r="R40" s="184"/>
      <c r="S40" s="184"/>
      <c r="T40" s="184"/>
      <c r="U40" s="184"/>
      <c r="V40" s="184"/>
      <c r="W40" s="184"/>
      <c r="X40" s="184"/>
      <c r="Y40" s="184"/>
      <c r="Z40" s="184"/>
      <c r="AA40" s="184"/>
      <c r="AB40" s="184"/>
      <c r="AC40" s="184"/>
      <c r="AD40" s="184"/>
      <c r="AE40" s="184"/>
      <c r="AF40" s="184"/>
      <c r="AG40" s="184"/>
      <c r="AH40" s="184"/>
      <c r="AI40" s="184"/>
      <c r="AJ40" s="184"/>
      <c r="AK40" s="184"/>
      <c r="AL40" s="184"/>
      <c r="AM40" s="184"/>
      <c r="AN40" s="184"/>
      <c r="AO40" s="184"/>
      <c r="AP40" s="184"/>
      <c r="AQ40" s="184"/>
      <c r="AR40" s="184"/>
      <c r="AS40" s="184"/>
      <c r="AT40" s="184"/>
      <c r="AU40" s="184"/>
      <c r="AV40" s="184"/>
      <c r="AW40" s="184"/>
      <c r="AX40" s="184"/>
      <c r="AY40" s="184"/>
      <c r="AZ40" s="184"/>
      <c r="BA40" s="184"/>
      <c r="BB40" s="184"/>
      <c r="BC40" s="184"/>
      <c r="BD40" s="184"/>
      <c r="BE40" s="184"/>
      <c r="BF40" s="184"/>
      <c r="BG40" s="184"/>
      <c r="BH40" s="184"/>
      <c r="BI40" s="184"/>
      <c r="BJ40" s="184"/>
      <c r="BK40" s="184"/>
      <c r="BL40" s="184"/>
      <c r="BM40" s="184"/>
      <c r="BN40" s="184"/>
      <c r="BO40" s="184"/>
      <c r="BP40" s="184"/>
      <c r="BQ40" s="184"/>
      <c r="BR40" s="184"/>
      <c r="BS40" s="184"/>
      <c r="BT40" s="184"/>
    </row>
    <row r="41">
      <c r="A41" s="183"/>
      <c r="B41" s="184"/>
      <c r="E41" s="184"/>
      <c r="F41" s="184"/>
      <c r="G41" s="184"/>
      <c r="H41" s="185" t="str">
        <f>IFERROR(__xludf.DUMMYFUNCTION("""COMPUTED_VALUE"""),"Analisis Multivariat")</f>
        <v>Analisis Multivariat</v>
      </c>
      <c r="I41" s="185">
        <f>IFERROR(__xludf.DUMMYFUNCTION("""COMPUTED_VALUE"""),4.0)</f>
        <v>4</v>
      </c>
      <c r="J41" s="186" t="str">
        <f>IFERROR(__xludf.DUMMYFUNCTION("""COMPUTED_VALUE"""),"")</f>
        <v/>
      </c>
      <c r="K41" s="186" t="str">
        <f>IFERROR(__xludf.DUMMYFUNCTION("""COMPUTED_VALUE"""),"")</f>
        <v/>
      </c>
      <c r="L41" s="184"/>
      <c r="M41" s="184"/>
      <c r="N41" s="184"/>
      <c r="O41" s="184"/>
      <c r="P41" s="184"/>
      <c r="Q41" s="184"/>
      <c r="R41" s="184"/>
      <c r="S41" s="184"/>
      <c r="T41" s="184"/>
      <c r="U41" s="184"/>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c r="AS41" s="184"/>
      <c r="AT41" s="184"/>
      <c r="AU41" s="184"/>
      <c r="AV41" s="184"/>
      <c r="AW41" s="184"/>
      <c r="AX41" s="184"/>
      <c r="AY41" s="184"/>
      <c r="AZ41" s="184"/>
      <c r="BA41" s="184"/>
      <c r="BB41" s="184"/>
      <c r="BC41" s="184"/>
      <c r="BD41" s="184"/>
      <c r="BE41" s="184"/>
      <c r="BF41" s="184"/>
      <c r="BG41" s="184"/>
      <c r="BH41" s="184"/>
      <c r="BI41" s="184"/>
      <c r="BJ41" s="184"/>
      <c r="BK41" s="184"/>
      <c r="BL41" s="184"/>
      <c r="BM41" s="184"/>
      <c r="BN41" s="184"/>
      <c r="BO41" s="184"/>
      <c r="BP41" s="184"/>
      <c r="BQ41" s="184"/>
      <c r="BR41" s="184"/>
      <c r="BS41" s="184"/>
      <c r="BT41" s="184"/>
    </row>
    <row r="42">
      <c r="A42" s="189"/>
      <c r="B42" s="190"/>
      <c r="E42" s="190"/>
      <c r="F42" s="190"/>
      <c r="G42" s="190"/>
      <c r="H42" s="191" t="str">
        <f>IFERROR(__xludf.DUMMYFUNCTION("""COMPUTED_VALUE"""),"Pembelajaran Mesin Dasar")</f>
        <v>Pembelajaran Mesin Dasar</v>
      </c>
      <c r="I42" s="191">
        <f>IFERROR(__xludf.DUMMYFUNCTION("""COMPUTED_VALUE"""),4.0)</f>
        <v>4</v>
      </c>
      <c r="J42" s="192" t="str">
        <f>IFERROR(__xludf.DUMMYFUNCTION("""COMPUTED_VALUE"""),"")</f>
        <v/>
      </c>
      <c r="K42" s="192" t="str">
        <f>IFERROR(__xludf.DUMMYFUNCTION("""COMPUTED_VALUE"""),"")</f>
        <v/>
      </c>
      <c r="L42" s="190"/>
      <c r="M42" s="190"/>
      <c r="N42" s="190"/>
      <c r="O42" s="190"/>
      <c r="P42" s="190"/>
      <c r="Q42" s="190"/>
      <c r="R42" s="190"/>
      <c r="S42" s="190"/>
      <c r="T42" s="190"/>
      <c r="U42" s="190"/>
      <c r="V42" s="190"/>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c r="BD42" s="190"/>
      <c r="BE42" s="190"/>
      <c r="BF42" s="190"/>
      <c r="BG42" s="190"/>
      <c r="BH42" s="190"/>
      <c r="BI42" s="190"/>
      <c r="BJ42" s="190"/>
      <c r="BK42" s="190"/>
      <c r="BL42" s="190"/>
      <c r="BM42" s="190"/>
      <c r="BN42" s="190"/>
      <c r="BO42" s="190"/>
      <c r="BP42" s="190"/>
      <c r="BQ42" s="190"/>
      <c r="BR42" s="190"/>
      <c r="BS42" s="190"/>
      <c r="BT42" s="190"/>
    </row>
    <row r="43">
      <c r="A43" s="189"/>
      <c r="B43" s="190"/>
      <c r="C43" s="190"/>
      <c r="D43" s="190"/>
      <c r="E43" s="190"/>
      <c r="F43" s="190"/>
      <c r="G43" s="190"/>
      <c r="H43" s="191" t="str">
        <f>IFERROR(__xludf.DUMMYFUNCTION("""COMPUTED_VALUE"""),"Rekayasa Perangkat Lunak")</f>
        <v>Rekayasa Perangkat Lunak</v>
      </c>
      <c r="I43" s="191">
        <f>IFERROR(__xludf.DUMMYFUNCTION("""COMPUTED_VALUE"""),4.0)</f>
        <v>4</v>
      </c>
      <c r="J43" s="192" t="str">
        <f>IFERROR(__xludf.DUMMYFUNCTION("""COMPUTED_VALUE"""),"")</f>
        <v/>
      </c>
      <c r="K43" s="192" t="str">
        <f>IFERROR(__xludf.DUMMYFUNCTION("""COMPUTED_VALUE"""),"")</f>
        <v/>
      </c>
      <c r="L43" s="190"/>
      <c r="M43" s="190"/>
      <c r="N43" s="190"/>
      <c r="O43" s="190"/>
      <c r="P43" s="190"/>
      <c r="Q43" s="190"/>
      <c r="R43" s="190"/>
      <c r="S43" s="190"/>
      <c r="T43" s="190"/>
      <c r="U43" s="190"/>
      <c r="V43" s="190"/>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90"/>
      <c r="BN43" s="190"/>
      <c r="BO43" s="190"/>
      <c r="BP43" s="190"/>
      <c r="BQ43" s="190"/>
      <c r="BR43" s="190"/>
      <c r="BS43" s="190"/>
      <c r="BT43" s="190"/>
    </row>
    <row r="44">
      <c r="A44" s="189"/>
      <c r="B44" s="190"/>
      <c r="C44" s="190"/>
      <c r="D44" s="190"/>
      <c r="E44" s="190"/>
      <c r="F44" s="190"/>
      <c r="G44" s="190"/>
      <c r="H44" s="191" t="str">
        <f>IFERROR(__xludf.DUMMYFUNCTION("""COMPUTED_VALUE"""),"Pendidikan Jasmani dan Kebugaran")</f>
        <v>Pendidikan Jasmani dan Kebugaran</v>
      </c>
      <c r="I44" s="191">
        <f>IFERROR(__xludf.DUMMYFUNCTION("""COMPUTED_VALUE"""),4.0)</f>
        <v>4</v>
      </c>
      <c r="J44" s="192" t="str">
        <f>IFERROR(__xludf.DUMMYFUNCTION("""COMPUTED_VALUE"""),"")</f>
        <v/>
      </c>
      <c r="K44" s="192" t="str">
        <f>IFERROR(__xludf.DUMMYFUNCTION("""COMPUTED_VALUE"""),"")</f>
        <v/>
      </c>
      <c r="L44" s="190"/>
      <c r="M44" s="190"/>
      <c r="N44" s="190"/>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row>
    <row r="45">
      <c r="A45" s="189"/>
      <c r="B45" s="190"/>
      <c r="C45" s="190"/>
      <c r="D45" s="190"/>
      <c r="E45" s="190"/>
      <c r="F45" s="190"/>
      <c r="G45" s="190"/>
      <c r="H45" s="191" t="str">
        <f>IFERROR(__xludf.DUMMYFUNCTION("""COMPUTED_VALUE"""),"Tata Tulis Ilmiah")</f>
        <v>Tata Tulis Ilmiah</v>
      </c>
      <c r="I45" s="191">
        <f>IFERROR(__xludf.DUMMYFUNCTION("""COMPUTED_VALUE"""),5.0)</f>
        <v>5</v>
      </c>
      <c r="J45" s="192" t="str">
        <f>IFERROR(__xludf.DUMMYFUNCTION("""COMPUTED_VALUE"""),"")</f>
        <v/>
      </c>
      <c r="K45" s="192" t="str">
        <f>IFERROR(__xludf.DUMMYFUNCTION("""COMPUTED_VALUE"""),"")</f>
        <v/>
      </c>
      <c r="L45" s="190"/>
      <c r="M45" s="190"/>
      <c r="N45" s="190"/>
      <c r="O45" s="190"/>
      <c r="P45" s="190"/>
      <c r="Q45" s="190"/>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90"/>
      <c r="BN45" s="190"/>
      <c r="BO45" s="190"/>
      <c r="BP45" s="190"/>
      <c r="BQ45" s="190"/>
      <c r="BR45" s="190"/>
      <c r="BS45" s="190"/>
      <c r="BT45" s="190"/>
    </row>
    <row r="46">
      <c r="A46" s="189"/>
      <c r="B46" s="190"/>
      <c r="C46" s="190"/>
      <c r="D46" s="190"/>
      <c r="E46" s="190"/>
      <c r="F46" s="190"/>
      <c r="G46" s="190"/>
      <c r="H46" s="191" t="str">
        <f>IFERROR(__xludf.DUMMYFUNCTION("""COMPUTED_VALUE"""),"Komunikasi Publik")</f>
        <v>Komunikasi Publik</v>
      </c>
      <c r="I46" s="191">
        <f>IFERROR(__xludf.DUMMYFUNCTION("""COMPUTED_VALUE"""),5.0)</f>
        <v>5</v>
      </c>
      <c r="J46" s="192" t="str">
        <f>IFERROR(__xludf.DUMMYFUNCTION("""COMPUTED_VALUE"""),"")</f>
        <v/>
      </c>
      <c r="K46" s="192" t="str">
        <f>IFERROR(__xludf.DUMMYFUNCTION("""COMPUTED_VALUE"""),"")</f>
        <v/>
      </c>
      <c r="L46" s="190"/>
      <c r="M46" s="190"/>
      <c r="N46" s="190"/>
      <c r="O46" s="190"/>
      <c r="P46" s="190"/>
      <c r="Q46" s="190"/>
      <c r="R46" s="190"/>
      <c r="S46" s="190"/>
      <c r="T46" s="190"/>
      <c r="U46" s="190"/>
      <c r="V46" s="190"/>
      <c r="W46" s="190"/>
      <c r="X46" s="190"/>
      <c r="Y46" s="190"/>
      <c r="Z46" s="190"/>
      <c r="AA46" s="190"/>
      <c r="AB46" s="190"/>
      <c r="AC46" s="190"/>
      <c r="AD46" s="190"/>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c r="BF46" s="190"/>
      <c r="BG46" s="190"/>
      <c r="BH46" s="190"/>
      <c r="BI46" s="190"/>
      <c r="BJ46" s="190"/>
      <c r="BK46" s="190"/>
      <c r="BL46" s="190"/>
      <c r="BM46" s="190"/>
      <c r="BN46" s="190"/>
      <c r="BO46" s="190"/>
      <c r="BP46" s="190"/>
      <c r="BQ46" s="190"/>
      <c r="BR46" s="190"/>
      <c r="BS46" s="190"/>
      <c r="BT46" s="190"/>
    </row>
    <row r="47">
      <c r="A47" s="193" t="s">
        <v>8</v>
      </c>
      <c r="B47" s="190"/>
      <c r="C47" s="190"/>
      <c r="D47" s="190"/>
      <c r="E47" s="190"/>
      <c r="F47" s="190"/>
      <c r="G47" s="190"/>
      <c r="H47" s="191" t="str">
        <f>IFERROR(__xludf.DUMMYFUNCTION("""COMPUTED_VALUE"""),"Kewirausahaan")</f>
        <v>Kewirausahaan</v>
      </c>
      <c r="I47" s="191">
        <f>IFERROR(__xludf.DUMMYFUNCTION("""COMPUTED_VALUE"""),5.0)</f>
        <v>5</v>
      </c>
      <c r="J47" s="192" t="str">
        <f>IFERROR(__xludf.DUMMYFUNCTION("""COMPUTED_VALUE"""),"")</f>
        <v/>
      </c>
      <c r="K47" s="192" t="str">
        <f>IFERROR(__xludf.DUMMYFUNCTION("""COMPUTED_VALUE"""),"")</f>
        <v/>
      </c>
      <c r="L47" s="190"/>
      <c r="M47" s="190"/>
      <c r="N47" s="190"/>
      <c r="O47" s="190"/>
      <c r="P47" s="190"/>
      <c r="Q47" s="190"/>
      <c r="R47" s="190"/>
      <c r="S47" s="190"/>
      <c r="T47" s="190"/>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c r="BJ47" s="190"/>
      <c r="BK47" s="190"/>
      <c r="BL47" s="190"/>
      <c r="BM47" s="190"/>
      <c r="BN47" s="190"/>
      <c r="BO47" s="190"/>
      <c r="BP47" s="190"/>
      <c r="BQ47" s="190"/>
      <c r="BR47" s="190"/>
      <c r="BS47" s="190"/>
      <c r="BT47" s="190"/>
    </row>
    <row r="48">
      <c r="A48" s="189"/>
      <c r="B48" s="190"/>
      <c r="C48" s="190"/>
      <c r="D48" s="190"/>
      <c r="E48" s="190"/>
      <c r="F48" s="190"/>
      <c r="G48" s="190"/>
      <c r="H48" s="191" t="str">
        <f>IFERROR(__xludf.DUMMYFUNCTION("""COMPUTED_VALUE"""),"Pilihan 3")</f>
        <v>Pilihan 3</v>
      </c>
      <c r="I48" s="191">
        <f>IFERROR(__xludf.DUMMYFUNCTION("""COMPUTED_VALUE"""),5.0)</f>
        <v>5</v>
      </c>
      <c r="J48" s="192" t="str">
        <f>IFERROR(__xludf.DUMMYFUNCTION("""COMPUTED_VALUE"""),"")</f>
        <v/>
      </c>
      <c r="K48" s="192" t="str">
        <f>IFERROR(__xludf.DUMMYFUNCTION("""COMPUTED_VALUE"""),"")</f>
        <v/>
      </c>
      <c r="L48" s="190"/>
      <c r="M48" s="190"/>
      <c r="N48" s="190"/>
      <c r="O48" s="190"/>
      <c r="P48" s="190"/>
      <c r="Q48" s="190"/>
      <c r="R48" s="190"/>
      <c r="S48" s="190"/>
      <c r="T48" s="190"/>
      <c r="U48" s="190"/>
      <c r="V48" s="190"/>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190"/>
      <c r="BG48" s="190"/>
      <c r="BH48" s="190"/>
      <c r="BI48" s="190"/>
      <c r="BJ48" s="190"/>
      <c r="BK48" s="190"/>
      <c r="BL48" s="190"/>
      <c r="BM48" s="190"/>
      <c r="BN48" s="190"/>
      <c r="BO48" s="190"/>
      <c r="BP48" s="190"/>
      <c r="BQ48" s="190"/>
      <c r="BR48" s="190"/>
      <c r="BS48" s="190"/>
      <c r="BT48" s="190"/>
    </row>
    <row r="49">
      <c r="A49" s="189"/>
      <c r="B49" s="190"/>
      <c r="C49" s="190"/>
      <c r="D49" s="190"/>
      <c r="E49" s="190"/>
      <c r="F49" s="190"/>
      <c r="G49" s="190"/>
      <c r="H49" s="191" t="str">
        <f>IFERROR(__xludf.DUMMYFUNCTION("""COMPUTED_VALUE"""),"Pilihan 4")</f>
        <v>Pilihan 4</v>
      </c>
      <c r="I49" s="191">
        <f>IFERROR(__xludf.DUMMYFUNCTION("""COMPUTED_VALUE"""),5.0)</f>
        <v>5</v>
      </c>
      <c r="J49" s="192" t="str">
        <f>IFERROR(__xludf.DUMMYFUNCTION("""COMPUTED_VALUE"""),"")</f>
        <v/>
      </c>
      <c r="K49" s="192" t="str">
        <f>IFERROR(__xludf.DUMMYFUNCTION("""COMPUTED_VALUE"""),"")</f>
        <v/>
      </c>
      <c r="L49" s="190"/>
      <c r="M49" s="190"/>
      <c r="N49" s="190"/>
      <c r="O49" s="190"/>
      <c r="P49" s="190"/>
      <c r="Q49" s="190"/>
      <c r="R49" s="190"/>
      <c r="S49" s="190"/>
      <c r="T49" s="190"/>
      <c r="U49" s="190"/>
      <c r="V49" s="190"/>
      <c r="W49" s="190"/>
      <c r="X49" s="190"/>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c r="BF49" s="190"/>
      <c r="BG49" s="190"/>
      <c r="BH49" s="190"/>
      <c r="BI49" s="190"/>
      <c r="BJ49" s="190"/>
      <c r="BK49" s="190"/>
      <c r="BL49" s="190"/>
      <c r="BM49" s="190"/>
      <c r="BN49" s="190"/>
      <c r="BO49" s="190"/>
      <c r="BP49" s="190"/>
      <c r="BQ49" s="190"/>
      <c r="BR49" s="190"/>
      <c r="BS49" s="190"/>
      <c r="BT49" s="190"/>
    </row>
    <row r="50">
      <c r="A50" s="189"/>
      <c r="B50" s="190"/>
      <c r="C50" s="190"/>
      <c r="D50" s="190"/>
      <c r="E50" s="190"/>
      <c r="F50" s="190"/>
      <c r="G50" s="190"/>
      <c r="H50" s="191" t="str">
        <f>IFERROR(__xludf.DUMMYFUNCTION("""COMPUTED_VALUE"""),"Pilihan 5")</f>
        <v>Pilihan 5</v>
      </c>
      <c r="I50" s="191">
        <f>IFERROR(__xludf.DUMMYFUNCTION("""COMPUTED_VALUE"""),5.0)</f>
        <v>5</v>
      </c>
      <c r="J50" s="192" t="str">
        <f>IFERROR(__xludf.DUMMYFUNCTION("""COMPUTED_VALUE"""),"")</f>
        <v/>
      </c>
      <c r="K50" s="192" t="str">
        <f>IFERROR(__xludf.DUMMYFUNCTION("""COMPUTED_VALUE"""),"")</f>
        <v/>
      </c>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c r="AV50" s="190"/>
      <c r="AW50" s="190"/>
      <c r="AX50" s="190"/>
      <c r="AY50" s="190"/>
      <c r="AZ50" s="190"/>
      <c r="BA50" s="190"/>
      <c r="BB50" s="190"/>
      <c r="BC50" s="190"/>
      <c r="BD50" s="190"/>
      <c r="BE50" s="190"/>
      <c r="BF50" s="190"/>
      <c r="BG50" s="190"/>
      <c r="BH50" s="190"/>
      <c r="BI50" s="190"/>
      <c r="BJ50" s="190"/>
      <c r="BK50" s="190"/>
      <c r="BL50" s="190"/>
      <c r="BM50" s="190"/>
      <c r="BN50" s="190"/>
      <c r="BO50" s="190"/>
      <c r="BP50" s="190"/>
      <c r="BQ50" s="190"/>
      <c r="BR50" s="190"/>
      <c r="BS50" s="190"/>
      <c r="BT50" s="190"/>
    </row>
    <row r="51">
      <c r="A51" s="189"/>
      <c r="B51" s="190"/>
      <c r="C51" s="190"/>
      <c r="D51" s="190"/>
      <c r="E51" s="190"/>
      <c r="F51" s="190"/>
      <c r="G51" s="190"/>
      <c r="H51" s="191" t="str">
        <f>IFERROR(__xludf.DUMMYFUNCTION("""COMPUTED_VALUE"""),"Pilihan 6")</f>
        <v>Pilihan 6</v>
      </c>
      <c r="I51" s="191">
        <f>IFERROR(__xludf.DUMMYFUNCTION("""COMPUTED_VALUE"""),5.0)</f>
        <v>5</v>
      </c>
      <c r="J51" s="192" t="str">
        <f>IFERROR(__xludf.DUMMYFUNCTION("""COMPUTED_VALUE"""),"")</f>
        <v/>
      </c>
      <c r="K51" s="192" t="str">
        <f>IFERROR(__xludf.DUMMYFUNCTION("""COMPUTED_VALUE"""),"")</f>
        <v/>
      </c>
      <c r="L51" s="190"/>
      <c r="M51" s="190"/>
      <c r="N51" s="190"/>
      <c r="O51" s="190"/>
      <c r="P51" s="190"/>
      <c r="Q51" s="190"/>
      <c r="R51" s="190"/>
      <c r="S51" s="190"/>
      <c r="T51" s="190"/>
      <c r="U51" s="190"/>
      <c r="V51" s="190"/>
      <c r="W51" s="190"/>
      <c r="X51" s="190"/>
      <c r="Y51" s="190"/>
      <c r="Z51" s="190"/>
      <c r="AA51" s="190"/>
      <c r="AB51" s="190"/>
      <c r="AC51" s="190"/>
      <c r="AD51" s="190"/>
      <c r="AE51" s="190"/>
      <c r="AF51" s="190"/>
      <c r="AG51" s="190"/>
      <c r="AH51" s="190"/>
      <c r="AI51" s="190"/>
      <c r="AJ51" s="190"/>
      <c r="AK51" s="190"/>
      <c r="AL51" s="190"/>
      <c r="AM51" s="190"/>
      <c r="AN51" s="190"/>
      <c r="AO51" s="190"/>
      <c r="AP51" s="190"/>
      <c r="AQ51" s="190"/>
      <c r="AR51" s="190"/>
      <c r="AS51" s="190"/>
      <c r="AT51" s="190"/>
      <c r="AU51" s="190"/>
      <c r="AV51" s="190"/>
      <c r="AW51" s="190"/>
      <c r="AX51" s="190"/>
      <c r="AY51" s="190"/>
      <c r="AZ51" s="190"/>
      <c r="BA51" s="190"/>
      <c r="BB51" s="190"/>
      <c r="BC51" s="190"/>
      <c r="BD51" s="190"/>
      <c r="BE51" s="190"/>
      <c r="BF51" s="190"/>
      <c r="BG51" s="190"/>
      <c r="BH51" s="190"/>
      <c r="BI51" s="190"/>
      <c r="BJ51" s="190"/>
      <c r="BK51" s="190"/>
      <c r="BL51" s="190"/>
      <c r="BM51" s="190"/>
      <c r="BN51" s="190"/>
      <c r="BO51" s="190"/>
      <c r="BP51" s="190"/>
      <c r="BQ51" s="190"/>
      <c r="BR51" s="190"/>
      <c r="BS51" s="190"/>
      <c r="BT51" s="190"/>
    </row>
    <row r="52">
      <c r="A52" s="194"/>
      <c r="B52" s="194"/>
      <c r="C52" s="194"/>
      <c r="D52" s="194"/>
      <c r="E52" s="194"/>
      <c r="F52" s="194"/>
      <c r="G52" s="194"/>
      <c r="H52" s="195" t="str">
        <f>IFERROR(__xludf.DUMMYFUNCTION("""COMPUTED_VALUE"""),"Creative Thinking")</f>
        <v>Creative Thinking</v>
      </c>
      <c r="I52" s="195">
        <f>IFERROR(__xludf.DUMMYFUNCTION("""COMPUTED_VALUE"""),5.0)</f>
        <v>5</v>
      </c>
      <c r="J52" s="196" t="str">
        <f>IFERROR(__xludf.DUMMYFUNCTION("""COMPUTED_VALUE"""),"")</f>
        <v/>
      </c>
      <c r="K52" s="196" t="str">
        <f>IFERROR(__xludf.DUMMYFUNCTION("""COMPUTED_VALUE"""),"")</f>
        <v/>
      </c>
      <c r="L52" s="194"/>
      <c r="M52" s="194"/>
      <c r="N52" s="194"/>
      <c r="O52" s="194"/>
      <c r="P52" s="194"/>
      <c r="Q52" s="194"/>
      <c r="R52" s="194"/>
      <c r="S52" s="194"/>
      <c r="T52" s="194"/>
      <c r="U52" s="194"/>
      <c r="V52" s="194"/>
      <c r="W52" s="194"/>
      <c r="X52" s="194"/>
      <c r="Y52" s="194"/>
      <c r="Z52" s="194"/>
      <c r="AA52" s="194"/>
      <c r="AB52" s="194"/>
      <c r="AC52" s="194"/>
      <c r="AD52" s="194"/>
      <c r="AE52" s="194"/>
      <c r="AF52" s="194"/>
      <c r="AG52" s="194"/>
      <c r="AH52" s="194"/>
      <c r="AI52" s="194"/>
      <c r="AJ52" s="194"/>
      <c r="AK52" s="194"/>
      <c r="AL52" s="194"/>
      <c r="AM52" s="194"/>
      <c r="AN52" s="194"/>
      <c r="AO52" s="194"/>
      <c r="AP52" s="194"/>
      <c r="AQ52" s="194"/>
      <c r="AR52" s="194"/>
      <c r="AS52" s="194"/>
      <c r="AT52" s="194"/>
      <c r="AU52" s="194"/>
      <c r="AV52" s="194"/>
      <c r="AW52" s="194"/>
      <c r="AX52" s="194"/>
      <c r="AY52" s="194"/>
      <c r="AZ52" s="194"/>
      <c r="BA52" s="194"/>
      <c r="BB52" s="194"/>
      <c r="BC52" s="194"/>
      <c r="BD52" s="194"/>
      <c r="BE52" s="194"/>
      <c r="BF52" s="194"/>
      <c r="BG52" s="194"/>
      <c r="BH52" s="194"/>
      <c r="BI52" s="194"/>
      <c r="BJ52" s="194"/>
      <c r="BK52" s="194"/>
      <c r="BL52" s="194"/>
      <c r="BM52" s="194"/>
      <c r="BN52" s="194"/>
      <c r="BO52" s="194"/>
      <c r="BP52" s="194"/>
      <c r="BQ52" s="194"/>
      <c r="BR52" s="194"/>
      <c r="BS52" s="194"/>
      <c r="BT52" s="194"/>
    </row>
    <row r="53">
      <c r="A53" s="194"/>
      <c r="B53" s="194"/>
      <c r="C53" s="194"/>
      <c r="D53" s="194"/>
      <c r="E53" s="194"/>
      <c r="F53" s="194"/>
      <c r="G53" s="194"/>
      <c r="H53" s="195" t="str">
        <f>IFERROR(__xludf.DUMMYFUNCTION("""COMPUTED_VALUE"""),"Bahasa Inggris")</f>
        <v>Bahasa Inggris</v>
      </c>
      <c r="I53" s="195">
        <f>IFERROR(__xludf.DUMMYFUNCTION("""COMPUTED_VALUE"""),5.0)</f>
        <v>5</v>
      </c>
      <c r="J53" s="196" t="str">
        <f>IFERROR(__xludf.DUMMYFUNCTION("""COMPUTED_VALUE"""),"")</f>
        <v/>
      </c>
      <c r="K53" s="196" t="str">
        <f>IFERROR(__xludf.DUMMYFUNCTION("""COMPUTED_VALUE"""),"")</f>
        <v/>
      </c>
      <c r="L53" s="194"/>
      <c r="M53" s="194"/>
      <c r="N53" s="194"/>
      <c r="O53" s="194"/>
      <c r="P53" s="194"/>
      <c r="Q53" s="194"/>
      <c r="R53" s="194"/>
      <c r="S53" s="194"/>
      <c r="T53" s="194"/>
      <c r="U53" s="194"/>
      <c r="V53" s="194"/>
      <c r="W53" s="194"/>
      <c r="X53" s="194"/>
      <c r="Y53" s="194"/>
      <c r="Z53" s="194"/>
      <c r="AA53" s="194"/>
      <c r="AB53" s="194"/>
      <c r="AC53" s="194"/>
      <c r="AD53" s="194"/>
      <c r="AE53" s="194"/>
      <c r="AF53" s="194"/>
      <c r="AG53" s="194"/>
      <c r="AH53" s="194"/>
      <c r="AI53" s="194"/>
      <c r="AJ53" s="194"/>
      <c r="AK53" s="194"/>
      <c r="AL53" s="194"/>
      <c r="AM53" s="194"/>
      <c r="AN53" s="194"/>
      <c r="AO53" s="194"/>
      <c r="AP53" s="194"/>
      <c r="AQ53" s="194"/>
      <c r="AR53" s="194"/>
      <c r="AS53" s="194"/>
      <c r="AT53" s="194"/>
      <c r="AU53" s="194"/>
      <c r="AV53" s="194"/>
      <c r="AW53" s="194"/>
      <c r="AX53" s="194"/>
      <c r="AY53" s="194"/>
      <c r="AZ53" s="194"/>
      <c r="BA53" s="194"/>
      <c r="BB53" s="194"/>
      <c r="BC53" s="194"/>
      <c r="BD53" s="194"/>
      <c r="BE53" s="194"/>
      <c r="BF53" s="194"/>
      <c r="BG53" s="194"/>
      <c r="BH53" s="194"/>
      <c r="BI53" s="194"/>
      <c r="BJ53" s="194"/>
      <c r="BK53" s="194"/>
      <c r="BL53" s="194"/>
      <c r="BM53" s="194"/>
      <c r="BN53" s="194"/>
      <c r="BO53" s="194"/>
      <c r="BP53" s="194"/>
      <c r="BQ53" s="194"/>
      <c r="BR53" s="194"/>
      <c r="BS53" s="194"/>
      <c r="BT53" s="194"/>
    </row>
    <row r="54">
      <c r="A54" s="194"/>
      <c r="B54" s="194"/>
      <c r="C54" s="194"/>
      <c r="D54" s="194"/>
      <c r="E54" s="194"/>
      <c r="F54" s="194"/>
      <c r="G54" s="194"/>
      <c r="H54" s="195" t="str">
        <f>IFERROR(__xludf.DUMMYFUNCTION("""COMPUTED_VALUE"""),"Manajemen Risiko")</f>
        <v>Manajemen Risiko</v>
      </c>
      <c r="I54" s="195">
        <f>IFERROR(__xludf.DUMMYFUNCTION("""COMPUTED_VALUE"""),6.0)</f>
        <v>6</v>
      </c>
      <c r="J54" s="196" t="str">
        <f>IFERROR(__xludf.DUMMYFUNCTION("""COMPUTED_VALUE"""),"")</f>
        <v/>
      </c>
      <c r="K54" s="196" t="str">
        <f>IFERROR(__xludf.DUMMYFUNCTION("""COMPUTED_VALUE"""),"")</f>
        <v/>
      </c>
      <c r="L54" s="194"/>
      <c r="M54" s="194"/>
      <c r="N54" s="194"/>
      <c r="O54" s="194"/>
      <c r="P54" s="194"/>
      <c r="Q54" s="194"/>
      <c r="R54" s="194"/>
      <c r="S54" s="194"/>
      <c r="T54" s="194"/>
      <c r="U54" s="194"/>
      <c r="V54" s="194"/>
      <c r="W54" s="194"/>
      <c r="X54" s="194"/>
      <c r="Y54" s="194"/>
      <c r="Z54" s="194"/>
      <c r="AA54" s="194"/>
      <c r="AB54" s="194"/>
      <c r="AC54" s="194"/>
      <c r="AD54" s="194"/>
      <c r="AE54" s="194"/>
      <c r="AF54" s="194"/>
      <c r="AG54" s="194"/>
      <c r="AH54" s="194"/>
      <c r="AI54" s="194"/>
      <c r="AJ54" s="194"/>
      <c r="AK54" s="194"/>
      <c r="AL54" s="194"/>
      <c r="AM54" s="194"/>
      <c r="AN54" s="194"/>
      <c r="AO54" s="194"/>
      <c r="AP54" s="194"/>
      <c r="AQ54" s="194"/>
      <c r="AR54" s="194"/>
      <c r="AS54" s="194"/>
      <c r="AT54" s="194"/>
      <c r="AU54" s="194"/>
      <c r="AV54" s="194"/>
      <c r="AW54" s="194"/>
      <c r="AX54" s="194"/>
      <c r="AY54" s="194"/>
      <c r="AZ54" s="194"/>
      <c r="BA54" s="194"/>
      <c r="BB54" s="194"/>
      <c r="BC54" s="194"/>
      <c r="BD54" s="194"/>
      <c r="BE54" s="194"/>
      <c r="BF54" s="194"/>
      <c r="BG54" s="194"/>
      <c r="BH54" s="194"/>
      <c r="BI54" s="194"/>
      <c r="BJ54" s="194"/>
      <c r="BK54" s="194"/>
      <c r="BL54" s="194"/>
      <c r="BM54" s="194"/>
      <c r="BN54" s="194"/>
      <c r="BO54" s="194"/>
      <c r="BP54" s="194"/>
      <c r="BQ54" s="194"/>
      <c r="BR54" s="194"/>
      <c r="BS54" s="194"/>
      <c r="BT54" s="194"/>
    </row>
    <row r="55">
      <c r="A55" s="194"/>
      <c r="B55" s="194"/>
      <c r="C55" s="194"/>
      <c r="D55" s="194"/>
      <c r="E55" s="194"/>
      <c r="F55" s="194"/>
      <c r="G55" s="194"/>
      <c r="H55" s="195" t="str">
        <f>IFERROR(__xludf.DUMMYFUNCTION("""COMPUTED_VALUE"""),"Pilihan 7")</f>
        <v>Pilihan 7</v>
      </c>
      <c r="I55" s="195">
        <f>IFERROR(__xludf.DUMMYFUNCTION("""COMPUTED_VALUE"""),6.0)</f>
        <v>6</v>
      </c>
      <c r="J55" s="196" t="str">
        <f>IFERROR(__xludf.DUMMYFUNCTION("""COMPUTED_VALUE"""),"")</f>
        <v/>
      </c>
      <c r="K55" s="196" t="str">
        <f>IFERROR(__xludf.DUMMYFUNCTION("""COMPUTED_VALUE"""),"")</f>
        <v/>
      </c>
      <c r="L55" s="194"/>
      <c r="M55" s="194"/>
      <c r="N55" s="194"/>
      <c r="O55" s="194"/>
      <c r="P55" s="194"/>
      <c r="Q55" s="194"/>
      <c r="R55" s="194"/>
      <c r="S55" s="194"/>
      <c r="T55" s="194"/>
      <c r="U55" s="194"/>
      <c r="V55" s="194"/>
      <c r="W55" s="194"/>
      <c r="X55" s="194"/>
      <c r="Y55" s="194"/>
      <c r="Z55" s="194"/>
      <c r="AA55" s="194"/>
      <c r="AB55" s="194"/>
      <c r="AC55" s="194"/>
      <c r="AD55" s="194"/>
      <c r="AE55" s="194"/>
      <c r="AF55" s="194"/>
      <c r="AG55" s="194"/>
      <c r="AH55" s="194"/>
      <c r="AI55" s="194"/>
      <c r="AJ55" s="194"/>
      <c r="AK55" s="194"/>
      <c r="AL55" s="194"/>
      <c r="AM55" s="194"/>
      <c r="AN55" s="194"/>
      <c r="AO55" s="194"/>
      <c r="AP55" s="194"/>
      <c r="AQ55" s="194"/>
      <c r="AR55" s="194"/>
      <c r="AS55" s="194"/>
      <c r="AT55" s="194"/>
      <c r="AU55" s="194"/>
      <c r="AV55" s="194"/>
      <c r="AW55" s="194"/>
      <c r="AX55" s="194"/>
      <c r="AY55" s="194"/>
      <c r="AZ55" s="194"/>
      <c r="BA55" s="194"/>
      <c r="BB55" s="194"/>
      <c r="BC55" s="194"/>
      <c r="BD55" s="194"/>
      <c r="BE55" s="194"/>
      <c r="BF55" s="194"/>
      <c r="BG55" s="194"/>
      <c r="BH55" s="194"/>
      <c r="BI55" s="194"/>
      <c r="BJ55" s="194"/>
      <c r="BK55" s="194"/>
      <c r="BL55" s="194"/>
      <c r="BM55" s="194"/>
      <c r="BN55" s="194"/>
      <c r="BO55" s="194"/>
      <c r="BP55" s="194"/>
      <c r="BQ55" s="194"/>
      <c r="BR55" s="194"/>
      <c r="BS55" s="194"/>
      <c r="BT55" s="194"/>
    </row>
    <row r="56">
      <c r="A56" s="194"/>
      <c r="B56" s="194"/>
      <c r="C56" s="194"/>
      <c r="D56" s="194"/>
      <c r="E56" s="194"/>
      <c r="F56" s="194"/>
      <c r="G56" s="194"/>
      <c r="H56" s="195" t="str">
        <f>IFERROR(__xludf.DUMMYFUNCTION("""COMPUTED_VALUE"""),"Etika Profesi")</f>
        <v>Etika Profesi</v>
      </c>
      <c r="I56" s="195">
        <f>IFERROR(__xludf.DUMMYFUNCTION("""COMPUTED_VALUE"""),6.0)</f>
        <v>6</v>
      </c>
      <c r="J56" s="196" t="str">
        <f>IFERROR(__xludf.DUMMYFUNCTION("""COMPUTED_VALUE"""),"")</f>
        <v/>
      </c>
      <c r="K56" s="196" t="str">
        <f>IFERROR(__xludf.DUMMYFUNCTION("""COMPUTED_VALUE"""),"")</f>
        <v/>
      </c>
      <c r="L56" s="194"/>
      <c r="M56" s="194"/>
      <c r="N56" s="194"/>
      <c r="O56" s="194"/>
      <c r="P56" s="194"/>
      <c r="Q56" s="194"/>
      <c r="R56" s="194"/>
      <c r="S56" s="194"/>
      <c r="T56" s="194"/>
      <c r="U56" s="194"/>
      <c r="V56" s="194"/>
      <c r="W56" s="194"/>
      <c r="X56" s="194"/>
      <c r="Y56" s="194"/>
      <c r="Z56" s="194"/>
      <c r="AA56" s="194"/>
      <c r="AB56" s="194"/>
      <c r="AC56" s="194"/>
      <c r="AD56" s="194"/>
      <c r="AE56" s="194"/>
      <c r="AF56" s="194"/>
      <c r="AG56" s="194"/>
      <c r="AH56" s="194"/>
      <c r="AI56" s="194"/>
      <c r="AJ56" s="194"/>
      <c r="AK56" s="194"/>
      <c r="AL56" s="194"/>
      <c r="AM56" s="194"/>
      <c r="AN56" s="194"/>
      <c r="AO56" s="194"/>
      <c r="AP56" s="194"/>
      <c r="AQ56" s="194"/>
      <c r="AR56" s="194"/>
      <c r="AS56" s="194"/>
      <c r="AT56" s="194"/>
      <c r="AU56" s="194"/>
      <c r="AV56" s="194"/>
      <c r="AW56" s="194"/>
      <c r="AX56" s="194"/>
      <c r="AY56" s="194"/>
      <c r="AZ56" s="194"/>
      <c r="BA56" s="194"/>
      <c r="BB56" s="194"/>
      <c r="BC56" s="194"/>
      <c r="BD56" s="194"/>
      <c r="BE56" s="194"/>
      <c r="BF56" s="194"/>
      <c r="BG56" s="194"/>
      <c r="BH56" s="194"/>
      <c r="BI56" s="194"/>
      <c r="BJ56" s="194"/>
      <c r="BK56" s="194"/>
      <c r="BL56" s="194"/>
      <c r="BM56" s="194"/>
      <c r="BN56" s="194"/>
      <c r="BO56" s="194"/>
      <c r="BP56" s="194"/>
      <c r="BQ56" s="194"/>
      <c r="BR56" s="194"/>
      <c r="BS56" s="194"/>
      <c r="BT56" s="194"/>
    </row>
    <row r="57">
      <c r="A57" s="194"/>
      <c r="B57" s="194"/>
      <c r="C57" s="194"/>
      <c r="D57" s="194"/>
      <c r="E57" s="194"/>
      <c r="F57" s="194"/>
      <c r="G57" s="194"/>
      <c r="H57" s="195" t="str">
        <f>IFERROR(__xludf.DUMMYFUNCTION("""COMPUTED_VALUE"""),"Kecerdasan Bisnis")</f>
        <v>Kecerdasan Bisnis</v>
      </c>
      <c r="I57" s="195">
        <f>IFERROR(__xludf.DUMMYFUNCTION("""COMPUTED_VALUE"""),6.0)</f>
        <v>6</v>
      </c>
      <c r="J57" s="196" t="str">
        <f>IFERROR(__xludf.DUMMYFUNCTION("""COMPUTED_VALUE"""),"")</f>
        <v/>
      </c>
      <c r="K57" s="196" t="str">
        <f>IFERROR(__xludf.DUMMYFUNCTION("""COMPUTED_VALUE"""),"")</f>
        <v/>
      </c>
      <c r="L57" s="194"/>
      <c r="M57" s="194"/>
      <c r="N57" s="194"/>
      <c r="O57" s="194"/>
      <c r="P57" s="194"/>
      <c r="Q57" s="194"/>
      <c r="R57" s="194"/>
      <c r="S57" s="194"/>
      <c r="T57" s="194"/>
      <c r="U57" s="194"/>
      <c r="V57" s="194"/>
      <c r="W57" s="194"/>
      <c r="X57" s="194"/>
      <c r="Y57" s="194"/>
      <c r="Z57" s="194"/>
      <c r="AA57" s="194"/>
      <c r="AB57" s="194"/>
      <c r="AC57" s="194"/>
      <c r="AD57" s="194"/>
      <c r="AE57" s="194"/>
      <c r="AF57" s="194"/>
      <c r="AG57" s="194"/>
      <c r="AH57" s="194"/>
      <c r="AI57" s="194"/>
      <c r="AJ57" s="194"/>
      <c r="AK57" s="194"/>
      <c r="AL57" s="194"/>
      <c r="AM57" s="194"/>
      <c r="AN57" s="194"/>
      <c r="AO57" s="194"/>
      <c r="AP57" s="194"/>
      <c r="AQ57" s="194"/>
      <c r="AR57" s="194"/>
      <c r="AS57" s="194"/>
      <c r="AT57" s="194"/>
      <c r="AU57" s="194"/>
      <c r="AV57" s="194"/>
      <c r="AW57" s="194"/>
      <c r="AX57" s="194"/>
      <c r="AY57" s="194"/>
      <c r="AZ57" s="194"/>
      <c r="BA57" s="194"/>
      <c r="BB57" s="194"/>
      <c r="BC57" s="194"/>
      <c r="BD57" s="194"/>
      <c r="BE57" s="194"/>
      <c r="BF57" s="194"/>
      <c r="BG57" s="194"/>
      <c r="BH57" s="194"/>
      <c r="BI57" s="194"/>
      <c r="BJ57" s="194"/>
      <c r="BK57" s="194"/>
      <c r="BL57" s="194"/>
      <c r="BM57" s="194"/>
      <c r="BN57" s="194"/>
      <c r="BO57" s="194"/>
      <c r="BP57" s="194"/>
      <c r="BQ57" s="194"/>
      <c r="BR57" s="194"/>
      <c r="BS57" s="194"/>
      <c r="BT57" s="194"/>
    </row>
    <row r="58">
      <c r="A58" s="194"/>
      <c r="B58" s="194"/>
      <c r="C58" s="194"/>
      <c r="D58" s="194"/>
      <c r="E58" s="194"/>
      <c r="F58" s="194"/>
      <c r="G58" s="194"/>
      <c r="H58" s="195" t="str">
        <f>IFERROR(__xludf.DUMMYFUNCTION("""COMPUTED_VALUE"""),"SIM")</f>
        <v>SIM</v>
      </c>
      <c r="I58" s="195">
        <f>IFERROR(__xludf.DUMMYFUNCTION("""COMPUTED_VALUE"""),6.0)</f>
        <v>6</v>
      </c>
      <c r="J58" s="196" t="str">
        <f>IFERROR(__xludf.DUMMYFUNCTION("""COMPUTED_VALUE"""),"")</f>
        <v/>
      </c>
      <c r="K58" s="196" t="str">
        <f>IFERROR(__xludf.DUMMYFUNCTION("""COMPUTED_VALUE"""),"")</f>
        <v/>
      </c>
      <c r="L58" s="194"/>
      <c r="M58" s="194"/>
      <c r="N58" s="194"/>
      <c r="O58" s="194"/>
      <c r="P58" s="194"/>
      <c r="Q58" s="194"/>
      <c r="R58" s="194"/>
      <c r="S58" s="194"/>
      <c r="T58" s="194"/>
      <c r="U58" s="194"/>
      <c r="V58" s="194"/>
      <c r="W58" s="194"/>
      <c r="X58" s="194"/>
      <c r="Y58" s="194"/>
      <c r="Z58" s="194"/>
      <c r="AA58" s="194"/>
      <c r="AB58" s="194"/>
      <c r="AC58" s="194"/>
      <c r="AD58" s="194"/>
      <c r="AE58" s="194"/>
      <c r="AF58" s="194"/>
      <c r="AG58" s="194"/>
      <c r="AH58" s="194"/>
      <c r="AI58" s="194"/>
      <c r="AJ58" s="194"/>
      <c r="AK58" s="194"/>
      <c r="AL58" s="194"/>
      <c r="AM58" s="194"/>
      <c r="AN58" s="194"/>
      <c r="AO58" s="194"/>
      <c r="AP58" s="194"/>
      <c r="AQ58" s="194"/>
      <c r="AR58" s="194"/>
      <c r="AS58" s="194"/>
      <c r="AT58" s="194"/>
      <c r="AU58" s="194"/>
      <c r="AV58" s="194"/>
      <c r="AW58" s="194"/>
      <c r="AX58" s="194"/>
      <c r="AY58" s="194"/>
      <c r="AZ58" s="194"/>
      <c r="BA58" s="194"/>
      <c r="BB58" s="194"/>
      <c r="BC58" s="194"/>
      <c r="BD58" s="194"/>
      <c r="BE58" s="194"/>
      <c r="BF58" s="194"/>
      <c r="BG58" s="194"/>
      <c r="BH58" s="194"/>
      <c r="BI58" s="194"/>
      <c r="BJ58" s="194"/>
      <c r="BK58" s="194"/>
      <c r="BL58" s="194"/>
      <c r="BM58" s="194"/>
      <c r="BN58" s="194"/>
      <c r="BO58" s="194"/>
      <c r="BP58" s="194"/>
      <c r="BQ58" s="194"/>
      <c r="BR58" s="194"/>
      <c r="BS58" s="194"/>
      <c r="BT58" s="194"/>
    </row>
    <row r="59">
      <c r="A59" s="194"/>
      <c r="B59" s="194"/>
      <c r="C59" s="194"/>
      <c r="D59" s="194"/>
      <c r="E59" s="194"/>
      <c r="F59" s="194"/>
      <c r="G59" s="194"/>
      <c r="H59" s="195" t="str">
        <f>IFERROR(__xludf.DUMMYFUNCTION("""COMPUTED_VALUE"""),"Manajemen Proyek")</f>
        <v>Manajemen Proyek</v>
      </c>
      <c r="I59" s="195">
        <f>IFERROR(__xludf.DUMMYFUNCTION("""COMPUTED_VALUE"""),6.0)</f>
        <v>6</v>
      </c>
      <c r="J59" s="196" t="str">
        <f>IFERROR(__xludf.DUMMYFUNCTION("""COMPUTED_VALUE"""),"")</f>
        <v/>
      </c>
      <c r="K59" s="196" t="str">
        <f>IFERROR(__xludf.DUMMYFUNCTION("""COMPUTED_VALUE"""),"")</f>
        <v/>
      </c>
      <c r="L59" s="194"/>
      <c r="M59" s="194"/>
      <c r="N59" s="194"/>
      <c r="O59" s="194"/>
      <c r="P59" s="194"/>
      <c r="Q59" s="194"/>
      <c r="R59" s="194"/>
      <c r="S59" s="194"/>
      <c r="T59" s="194"/>
      <c r="U59" s="194"/>
      <c r="V59" s="194"/>
      <c r="W59" s="194"/>
      <c r="X59" s="194"/>
      <c r="Y59" s="194"/>
      <c r="Z59" s="194"/>
      <c r="AA59" s="194"/>
      <c r="AB59" s="194"/>
      <c r="AC59" s="194"/>
      <c r="AD59" s="194"/>
      <c r="AE59" s="194"/>
      <c r="AF59" s="194"/>
      <c r="AG59" s="194"/>
      <c r="AH59" s="194"/>
      <c r="AI59" s="194"/>
      <c r="AJ59" s="194"/>
      <c r="AK59" s="194"/>
      <c r="AL59" s="194"/>
      <c r="AM59" s="194"/>
      <c r="AN59" s="194"/>
      <c r="AO59" s="194"/>
      <c r="AP59" s="194"/>
      <c r="AQ59" s="194"/>
      <c r="AR59" s="194"/>
      <c r="AS59" s="194"/>
      <c r="AT59" s="194"/>
      <c r="AU59" s="194"/>
      <c r="AV59" s="194"/>
      <c r="AW59" s="194"/>
      <c r="AX59" s="194"/>
      <c r="AY59" s="194"/>
      <c r="AZ59" s="194"/>
      <c r="BA59" s="194"/>
      <c r="BB59" s="194"/>
      <c r="BC59" s="194"/>
      <c r="BD59" s="194"/>
      <c r="BE59" s="194"/>
      <c r="BF59" s="194"/>
      <c r="BG59" s="194"/>
      <c r="BH59" s="194"/>
      <c r="BI59" s="194"/>
      <c r="BJ59" s="194"/>
      <c r="BK59" s="194"/>
      <c r="BL59" s="194"/>
      <c r="BM59" s="194"/>
      <c r="BN59" s="194"/>
      <c r="BO59" s="194"/>
      <c r="BP59" s="194"/>
      <c r="BQ59" s="194"/>
      <c r="BR59" s="194"/>
      <c r="BS59" s="194"/>
      <c r="BT59" s="194"/>
    </row>
    <row r="60">
      <c r="A60" s="194"/>
      <c r="B60" s="194"/>
      <c r="C60" s="194"/>
      <c r="D60" s="194"/>
      <c r="E60" s="194"/>
      <c r="F60" s="194"/>
      <c r="G60" s="194"/>
      <c r="H60" s="195" t="str">
        <f>IFERROR(__xludf.DUMMYFUNCTION("""COMPUTED_VALUE"""),"Pilihan 8")</f>
        <v>Pilihan 8</v>
      </c>
      <c r="I60" s="195">
        <f>IFERROR(__xludf.DUMMYFUNCTION("""COMPUTED_VALUE"""),6.0)</f>
        <v>6</v>
      </c>
      <c r="J60" s="196" t="str">
        <f>IFERROR(__xludf.DUMMYFUNCTION("""COMPUTED_VALUE"""),"")</f>
        <v/>
      </c>
      <c r="K60" s="196" t="str">
        <f>IFERROR(__xludf.DUMMYFUNCTION("""COMPUTED_VALUE"""),"")</f>
        <v/>
      </c>
      <c r="L60" s="194"/>
      <c r="M60" s="194"/>
      <c r="N60" s="194"/>
      <c r="O60" s="194"/>
      <c r="P60" s="194"/>
      <c r="Q60" s="194"/>
      <c r="R60" s="194"/>
      <c r="S60" s="194"/>
      <c r="T60" s="194"/>
      <c r="U60" s="194"/>
      <c r="V60" s="194"/>
      <c r="W60" s="194"/>
      <c r="X60" s="194"/>
      <c r="Y60" s="194"/>
      <c r="Z60" s="194"/>
      <c r="AA60" s="194"/>
      <c r="AB60" s="194"/>
      <c r="AC60" s="194"/>
      <c r="AD60" s="194"/>
      <c r="AE60" s="194"/>
      <c r="AF60" s="194"/>
      <c r="AG60" s="194"/>
      <c r="AH60" s="194"/>
      <c r="AI60" s="194"/>
      <c r="AJ60" s="194"/>
      <c r="AK60" s="194"/>
      <c r="AL60" s="194"/>
      <c r="AM60" s="194"/>
      <c r="AN60" s="194"/>
      <c r="AO60" s="194"/>
      <c r="AP60" s="194"/>
      <c r="AQ60" s="194"/>
      <c r="AR60" s="194"/>
      <c r="AS60" s="194"/>
      <c r="AT60" s="194"/>
      <c r="AU60" s="194"/>
      <c r="AV60" s="194"/>
      <c r="AW60" s="194"/>
      <c r="AX60" s="194"/>
      <c r="AY60" s="194"/>
      <c r="AZ60" s="194"/>
      <c r="BA60" s="194"/>
      <c r="BB60" s="194"/>
      <c r="BC60" s="194"/>
      <c r="BD60" s="194"/>
      <c r="BE60" s="194"/>
      <c r="BF60" s="194"/>
      <c r="BG60" s="194"/>
      <c r="BH60" s="194"/>
      <c r="BI60" s="194"/>
      <c r="BJ60" s="194"/>
      <c r="BK60" s="194"/>
      <c r="BL60" s="194"/>
      <c r="BM60" s="194"/>
      <c r="BN60" s="194"/>
      <c r="BO60" s="194"/>
      <c r="BP60" s="194"/>
      <c r="BQ60" s="194"/>
      <c r="BR60" s="194"/>
      <c r="BS60" s="194"/>
      <c r="BT60" s="194"/>
    </row>
    <row r="61">
      <c r="A61" s="197"/>
      <c r="B61" s="197"/>
      <c r="C61" s="197"/>
      <c r="D61" s="197"/>
      <c r="E61" s="197"/>
      <c r="F61" s="197"/>
      <c r="G61" s="197"/>
      <c r="H61" s="198" t="str">
        <f>IFERROR(__xludf.DUMMYFUNCTION("""COMPUTED_VALUE"""),"Pembelajaran Mesin Lanjut")</f>
        <v>Pembelajaran Mesin Lanjut</v>
      </c>
      <c r="I61" s="198">
        <f>IFERROR(__xludf.DUMMYFUNCTION("""COMPUTED_VALUE"""),7.0)</f>
        <v>7</v>
      </c>
      <c r="J61" s="199" t="str">
        <f>IFERROR(__xludf.DUMMYFUNCTION("""COMPUTED_VALUE"""),"")</f>
        <v/>
      </c>
      <c r="K61" s="199" t="str">
        <f>IFERROR(__xludf.DUMMYFUNCTION("""COMPUTED_VALUE"""),"")</f>
        <v/>
      </c>
      <c r="L61" s="197"/>
      <c r="M61" s="197"/>
      <c r="N61" s="197"/>
      <c r="O61" s="197"/>
      <c r="P61" s="197"/>
      <c r="Q61" s="197"/>
      <c r="R61" s="197"/>
      <c r="S61" s="197"/>
      <c r="T61" s="197"/>
      <c r="U61" s="197"/>
      <c r="V61" s="197"/>
      <c r="W61" s="197"/>
      <c r="X61" s="197"/>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row>
    <row r="62">
      <c r="A62" s="197"/>
      <c r="B62" s="197"/>
      <c r="C62" s="197"/>
      <c r="D62" s="197"/>
      <c r="E62" s="197"/>
      <c r="F62" s="197"/>
      <c r="G62" s="197"/>
      <c r="H62" s="198" t="str">
        <f>IFERROR(__xludf.DUMMYFUNCTION("""COMPUTED_VALUE"""),"Analisis Big Data")</f>
        <v>Analisis Big Data</v>
      </c>
      <c r="I62" s="198">
        <f>IFERROR(__xludf.DUMMYFUNCTION("""COMPUTED_VALUE"""),7.0)</f>
        <v>7</v>
      </c>
      <c r="J62" s="199" t="str">
        <f>IFERROR(__xludf.DUMMYFUNCTION("""COMPUTED_VALUE"""),"")</f>
        <v/>
      </c>
      <c r="K62" s="199" t="str">
        <f>IFERROR(__xludf.DUMMYFUNCTION("""COMPUTED_VALUE"""),"")</f>
        <v/>
      </c>
      <c r="L62" s="197"/>
      <c r="M62" s="197"/>
      <c r="N62" s="197"/>
      <c r="O62" s="197"/>
      <c r="P62" s="197"/>
      <c r="Q62" s="197"/>
      <c r="R62" s="197"/>
      <c r="S62" s="197"/>
      <c r="T62" s="197"/>
      <c r="U62" s="197"/>
      <c r="V62" s="197"/>
      <c r="W62" s="197"/>
      <c r="X62" s="197"/>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row>
    <row r="63">
      <c r="A63" s="197"/>
      <c r="B63" s="197"/>
      <c r="C63" s="197"/>
      <c r="D63" s="197"/>
      <c r="E63" s="197"/>
      <c r="F63" s="197"/>
      <c r="G63" s="197"/>
      <c r="H63" s="198" t="str">
        <f>IFERROR(__xludf.DUMMYFUNCTION("""COMPUTED_VALUE"""),"Graf Sains Data")</f>
        <v>Graf Sains Data</v>
      </c>
      <c r="I63" s="198">
        <f>IFERROR(__xludf.DUMMYFUNCTION("""COMPUTED_VALUE"""),7.0)</f>
        <v>7</v>
      </c>
      <c r="J63" s="199" t="str">
        <f>IFERROR(__xludf.DUMMYFUNCTION("""COMPUTED_VALUE"""),"")</f>
        <v/>
      </c>
      <c r="K63" s="199" t="str">
        <f>IFERROR(__xludf.DUMMYFUNCTION("""COMPUTED_VALUE"""),"")</f>
        <v/>
      </c>
      <c r="L63" s="197"/>
      <c r="M63" s="197"/>
      <c r="N63" s="197"/>
      <c r="O63" s="197"/>
      <c r="P63" s="197"/>
      <c r="Q63" s="197"/>
      <c r="R63" s="197"/>
      <c r="S63" s="197"/>
      <c r="T63" s="197"/>
      <c r="U63" s="197"/>
      <c r="V63" s="197"/>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row>
    <row r="64">
      <c r="A64" s="197"/>
      <c r="B64" s="197"/>
      <c r="C64" s="197"/>
      <c r="D64" s="197"/>
      <c r="E64" s="197"/>
      <c r="F64" s="197"/>
      <c r="G64" s="197"/>
      <c r="H64" s="198" t="str">
        <f>IFERROR(__xludf.DUMMYFUNCTION("""COMPUTED_VALUE"""),"Pilihan 1")</f>
        <v>Pilihan 1</v>
      </c>
      <c r="I64" s="198">
        <f>IFERROR(__xludf.DUMMYFUNCTION("""COMPUTED_VALUE"""),7.0)</f>
        <v>7</v>
      </c>
      <c r="J64" s="199" t="str">
        <f>IFERROR(__xludf.DUMMYFUNCTION("""COMPUTED_VALUE"""),"")</f>
        <v/>
      </c>
      <c r="K64" s="199" t="str">
        <f>IFERROR(__xludf.DUMMYFUNCTION("""COMPUTED_VALUE"""),"")</f>
        <v/>
      </c>
      <c r="L64" s="197"/>
      <c r="M64" s="197"/>
      <c r="N64" s="197"/>
      <c r="O64" s="197"/>
      <c r="P64" s="197"/>
      <c r="Q64" s="197"/>
      <c r="R64" s="197"/>
      <c r="S64" s="197"/>
      <c r="T64" s="197"/>
      <c r="U64" s="197"/>
      <c r="V64" s="197"/>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row>
    <row r="65">
      <c r="A65" s="197"/>
      <c r="B65" s="197"/>
      <c r="C65" s="197"/>
      <c r="D65" s="197"/>
      <c r="E65" s="197"/>
      <c r="F65" s="197"/>
      <c r="G65" s="197"/>
      <c r="H65" s="198" t="str">
        <f>IFERROR(__xludf.DUMMYFUNCTION("""COMPUTED_VALUE"""),"Pilihan 2")</f>
        <v>Pilihan 2</v>
      </c>
      <c r="I65" s="198">
        <f>IFERROR(__xludf.DUMMYFUNCTION("""COMPUTED_VALUE"""),7.0)</f>
        <v>7</v>
      </c>
      <c r="J65" s="199" t="str">
        <f>IFERROR(__xludf.DUMMYFUNCTION("""COMPUTED_VALUE"""),"")</f>
        <v/>
      </c>
      <c r="K65" s="199" t="str">
        <f>IFERROR(__xludf.DUMMYFUNCTION("""COMPUTED_VALUE"""),"")</f>
        <v/>
      </c>
      <c r="L65" s="197"/>
      <c r="M65" s="197"/>
      <c r="N65" s="197"/>
      <c r="O65" s="197"/>
      <c r="P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197"/>
      <c r="BG65" s="197"/>
      <c r="BH65" s="197"/>
      <c r="BI65" s="197"/>
      <c r="BJ65" s="197"/>
      <c r="BK65" s="197"/>
      <c r="BL65" s="197"/>
      <c r="BM65" s="197"/>
      <c r="BN65" s="197"/>
      <c r="BO65" s="197"/>
      <c r="BP65" s="197"/>
      <c r="BQ65" s="197"/>
      <c r="BR65" s="197"/>
      <c r="BS65" s="197"/>
      <c r="BT65" s="197"/>
    </row>
    <row r="66">
      <c r="A66" s="197"/>
      <c r="B66" s="197"/>
      <c r="C66" s="197"/>
      <c r="D66" s="197"/>
      <c r="E66" s="197"/>
      <c r="F66" s="197"/>
      <c r="G66" s="197"/>
      <c r="H66" s="198" t="str">
        <f>IFERROR(__xludf.DUMMYFUNCTION("""COMPUTED_VALUE"""),"Proposal Tugas Akhir")</f>
        <v>Proposal Tugas Akhir</v>
      </c>
      <c r="I66" s="198">
        <f>IFERROR(__xludf.DUMMYFUNCTION("""COMPUTED_VALUE"""),7.0)</f>
        <v>7</v>
      </c>
      <c r="J66" s="199" t="str">
        <f>IFERROR(__xludf.DUMMYFUNCTION("""COMPUTED_VALUE"""),"")</f>
        <v/>
      </c>
      <c r="K66" s="199" t="str">
        <f>IFERROR(__xludf.DUMMYFUNCTION("""COMPUTED_VALUE"""),"")</f>
        <v/>
      </c>
      <c r="L66" s="197"/>
      <c r="M66" s="197"/>
      <c r="N66" s="197"/>
      <c r="O66" s="197"/>
      <c r="P66" s="197"/>
      <c r="Q66" s="197"/>
      <c r="R66" s="197"/>
      <c r="S66" s="197"/>
      <c r="T66" s="197"/>
      <c r="U66" s="197"/>
      <c r="V66" s="197"/>
      <c r="W66" s="197"/>
      <c r="X66" s="197"/>
      <c r="Y66" s="197"/>
      <c r="Z66" s="197"/>
      <c r="AA66" s="197"/>
      <c r="AB66" s="197"/>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c r="AY66" s="197"/>
      <c r="AZ66" s="197"/>
      <c r="BA66" s="197"/>
      <c r="BB66" s="197"/>
      <c r="BC66" s="197"/>
      <c r="BD66" s="197"/>
      <c r="BE66" s="197"/>
      <c r="BF66" s="197"/>
      <c r="BG66" s="197"/>
      <c r="BH66" s="197"/>
      <c r="BI66" s="197"/>
      <c r="BJ66" s="197"/>
      <c r="BK66" s="197"/>
      <c r="BL66" s="197"/>
      <c r="BM66" s="197"/>
      <c r="BN66" s="197"/>
      <c r="BO66" s="197"/>
      <c r="BP66" s="197"/>
      <c r="BQ66" s="197"/>
      <c r="BR66" s="197"/>
      <c r="BS66" s="197"/>
      <c r="BT66" s="197"/>
    </row>
    <row r="67">
      <c r="A67" s="197"/>
      <c r="B67" s="197"/>
      <c r="C67" s="197"/>
      <c r="D67" s="197"/>
      <c r="E67" s="197"/>
      <c r="F67" s="197"/>
      <c r="G67" s="197"/>
      <c r="H67" s="198" t="str">
        <f>IFERROR(__xludf.DUMMYFUNCTION("""COMPUTED_VALUE"""),"Tugas Akhir")</f>
        <v>Tugas Akhir</v>
      </c>
      <c r="I67" s="198">
        <f>IFERROR(__xludf.DUMMYFUNCTION("""COMPUTED_VALUE"""),8.0)</f>
        <v>8</v>
      </c>
      <c r="J67" s="199" t="str">
        <f>IFERROR(__xludf.DUMMYFUNCTION("""COMPUTED_VALUE"""),"")</f>
        <v/>
      </c>
      <c r="K67" s="199" t="str">
        <f>IFERROR(__xludf.DUMMYFUNCTION("""COMPUTED_VALUE"""),"")</f>
        <v/>
      </c>
      <c r="L67" s="197"/>
      <c r="M67" s="197"/>
      <c r="N67" s="197"/>
      <c r="O67" s="197"/>
      <c r="P67" s="197"/>
      <c r="Q67" s="197"/>
      <c r="R67" s="197"/>
      <c r="S67" s="197"/>
      <c r="T67" s="197"/>
      <c r="U67" s="197"/>
      <c r="V67" s="197"/>
      <c r="W67" s="197"/>
      <c r="X67" s="197"/>
      <c r="Y67" s="197"/>
      <c r="Z67" s="197"/>
      <c r="AA67" s="197"/>
      <c r="AB67" s="197"/>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c r="AY67" s="197"/>
      <c r="AZ67" s="197"/>
      <c r="BA67" s="197"/>
      <c r="BB67" s="197"/>
      <c r="BC67" s="197"/>
      <c r="BD67" s="197"/>
      <c r="BE67" s="197"/>
      <c r="BF67" s="197"/>
      <c r="BG67" s="197"/>
      <c r="BH67" s="197"/>
      <c r="BI67" s="197"/>
      <c r="BJ67" s="197"/>
      <c r="BK67" s="197"/>
      <c r="BL67" s="197"/>
      <c r="BM67" s="197"/>
      <c r="BN67" s="197"/>
      <c r="BO67" s="197"/>
      <c r="BP67" s="197"/>
      <c r="BQ67" s="197"/>
      <c r="BR67" s="197"/>
      <c r="BS67" s="197"/>
      <c r="BT67" s="197"/>
    </row>
    <row r="68">
      <c r="A68" s="197"/>
      <c r="B68" s="197"/>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c r="AA68" s="197"/>
      <c r="AB68" s="197"/>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7"/>
      <c r="BD68" s="197"/>
      <c r="BE68" s="197"/>
      <c r="BF68" s="197"/>
      <c r="BG68" s="197"/>
      <c r="BH68" s="197"/>
      <c r="BI68" s="197"/>
      <c r="BJ68" s="197"/>
      <c r="BK68" s="197"/>
      <c r="BL68" s="197"/>
      <c r="BM68" s="197"/>
      <c r="BN68" s="197"/>
      <c r="BO68" s="197"/>
      <c r="BP68" s="197"/>
      <c r="BQ68" s="197"/>
      <c r="BR68" s="197"/>
      <c r="BS68" s="197"/>
      <c r="BT68" s="197"/>
    </row>
    <row r="69">
      <c r="A69" s="197"/>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c r="AA69" s="197"/>
      <c r="AB69" s="197"/>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7"/>
      <c r="BD69" s="197"/>
      <c r="BE69" s="197"/>
      <c r="BF69" s="197"/>
      <c r="BG69" s="197"/>
      <c r="BH69" s="197"/>
      <c r="BI69" s="197"/>
      <c r="BJ69" s="197"/>
      <c r="BK69" s="197"/>
      <c r="BL69" s="197"/>
      <c r="BM69" s="197"/>
      <c r="BN69" s="197"/>
      <c r="BO69" s="197"/>
      <c r="BP69" s="197"/>
      <c r="BQ69" s="197"/>
      <c r="BR69" s="197"/>
      <c r="BS69" s="197"/>
      <c r="BT69" s="197"/>
    </row>
    <row r="70">
      <c r="A70" s="197"/>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197"/>
      <c r="BG70" s="197"/>
      <c r="BH70" s="197"/>
      <c r="BI70" s="197"/>
      <c r="BJ70" s="197"/>
      <c r="BK70" s="197"/>
      <c r="BL70" s="197"/>
      <c r="BM70" s="197"/>
      <c r="BN70" s="197"/>
      <c r="BO70" s="197"/>
      <c r="BP70" s="197"/>
      <c r="BQ70" s="197"/>
      <c r="BR70" s="197"/>
      <c r="BS70" s="197"/>
      <c r="BT70" s="197"/>
    </row>
    <row r="71">
      <c r="A71" s="197"/>
      <c r="B71" s="197"/>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c r="AA71" s="197"/>
      <c r="AB71" s="197"/>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7"/>
      <c r="BD71" s="197"/>
      <c r="BE71" s="197"/>
      <c r="BF71" s="197"/>
      <c r="BG71" s="197"/>
      <c r="BH71" s="197"/>
      <c r="BI71" s="197"/>
      <c r="BJ71" s="197"/>
      <c r="BK71" s="197"/>
      <c r="BL71" s="197"/>
      <c r="BM71" s="197"/>
      <c r="BN71" s="197"/>
      <c r="BO71" s="197"/>
      <c r="BP71" s="197"/>
      <c r="BQ71" s="197"/>
      <c r="BR71" s="197"/>
      <c r="BS71" s="197"/>
      <c r="BT71" s="197"/>
    </row>
    <row r="72">
      <c r="A72" s="197"/>
      <c r="B72" s="197"/>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c r="AA72" s="197"/>
      <c r="AB72" s="197"/>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7"/>
      <c r="BD72" s="197"/>
      <c r="BE72" s="197"/>
      <c r="BF72" s="197"/>
      <c r="BG72" s="197"/>
      <c r="BH72" s="197"/>
      <c r="BI72" s="197"/>
      <c r="BJ72" s="197"/>
      <c r="BK72" s="197"/>
      <c r="BL72" s="197"/>
      <c r="BM72" s="197"/>
      <c r="BN72" s="197"/>
      <c r="BO72" s="197"/>
      <c r="BP72" s="197"/>
      <c r="BQ72" s="197"/>
      <c r="BR72" s="197"/>
      <c r="BS72" s="197"/>
      <c r="BT72" s="197"/>
    </row>
    <row r="73">
      <c r="A73" s="197"/>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c r="BD73" s="197"/>
      <c r="BE73" s="197"/>
      <c r="BF73" s="197"/>
      <c r="BG73" s="197"/>
      <c r="BH73" s="197"/>
      <c r="BI73" s="197"/>
      <c r="BJ73" s="197"/>
      <c r="BK73" s="197"/>
      <c r="BL73" s="197"/>
      <c r="BM73" s="197"/>
      <c r="BN73" s="197"/>
      <c r="BO73" s="197"/>
      <c r="BP73" s="197"/>
      <c r="BQ73" s="197"/>
      <c r="BR73" s="197"/>
      <c r="BS73" s="197"/>
      <c r="BT73" s="197"/>
    </row>
    <row r="74">
      <c r="A74" s="197"/>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c r="AY74" s="197"/>
      <c r="AZ74" s="197"/>
      <c r="BA74" s="197"/>
      <c r="BB74" s="197"/>
      <c r="BC74" s="197"/>
      <c r="BD74" s="197"/>
      <c r="BE74" s="197"/>
      <c r="BF74" s="197"/>
      <c r="BG74" s="197"/>
      <c r="BH74" s="197"/>
      <c r="BI74" s="197"/>
      <c r="BJ74" s="197"/>
      <c r="BK74" s="197"/>
      <c r="BL74" s="197"/>
      <c r="BM74" s="197"/>
      <c r="BN74" s="197"/>
      <c r="BO74" s="197"/>
      <c r="BP74" s="197"/>
      <c r="BQ74" s="197"/>
      <c r="BR74" s="197"/>
      <c r="BS74" s="197"/>
      <c r="BT74" s="197"/>
    </row>
    <row r="75">
      <c r="A75" s="197"/>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c r="AA75" s="197"/>
      <c r="AB75" s="197"/>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7"/>
      <c r="BD75" s="197"/>
      <c r="BE75" s="197"/>
      <c r="BF75" s="197"/>
      <c r="BG75" s="197"/>
      <c r="BH75" s="197"/>
      <c r="BI75" s="197"/>
      <c r="BJ75" s="197"/>
      <c r="BK75" s="197"/>
      <c r="BL75" s="197"/>
      <c r="BM75" s="197"/>
      <c r="BN75" s="197"/>
      <c r="BO75" s="197"/>
      <c r="BP75" s="197"/>
      <c r="BQ75" s="197"/>
      <c r="BR75" s="197"/>
      <c r="BS75" s="197"/>
      <c r="BT75" s="197"/>
    </row>
    <row r="76">
      <c r="A76" s="197"/>
      <c r="B76" s="197"/>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c r="AA76" s="197"/>
      <c r="AB76" s="197"/>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7"/>
      <c r="BD76" s="197"/>
      <c r="BE76" s="197"/>
      <c r="BF76" s="197"/>
      <c r="BG76" s="197"/>
      <c r="BH76" s="197"/>
      <c r="BI76" s="197"/>
      <c r="BJ76" s="197"/>
      <c r="BK76" s="197"/>
      <c r="BL76" s="197"/>
      <c r="BM76" s="197"/>
      <c r="BN76" s="197"/>
      <c r="BO76" s="197"/>
      <c r="BP76" s="197"/>
      <c r="BQ76" s="197"/>
      <c r="BR76" s="197"/>
      <c r="BS76" s="197"/>
      <c r="BT76" s="197"/>
    </row>
    <row r="77">
      <c r="A77" s="197"/>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7"/>
      <c r="BD77" s="197"/>
      <c r="BE77" s="197"/>
      <c r="BF77" s="197"/>
      <c r="BG77" s="197"/>
      <c r="BH77" s="197"/>
      <c r="BI77" s="197"/>
      <c r="BJ77" s="197"/>
      <c r="BK77" s="197"/>
      <c r="BL77" s="197"/>
      <c r="BM77" s="197"/>
      <c r="BN77" s="197"/>
      <c r="BO77" s="197"/>
      <c r="BP77" s="197"/>
      <c r="BQ77" s="197"/>
      <c r="BR77" s="197"/>
      <c r="BS77" s="197"/>
      <c r="BT77" s="197"/>
    </row>
    <row r="78">
      <c r="A78" s="197"/>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7"/>
      <c r="BD78" s="197"/>
      <c r="BE78" s="197"/>
      <c r="BF78" s="197"/>
      <c r="BG78" s="197"/>
      <c r="BH78" s="197"/>
      <c r="BI78" s="197"/>
      <c r="BJ78" s="197"/>
      <c r="BK78" s="197"/>
      <c r="BL78" s="197"/>
      <c r="BM78" s="197"/>
      <c r="BN78" s="197"/>
      <c r="BO78" s="197"/>
      <c r="BP78" s="197"/>
      <c r="BQ78" s="197"/>
      <c r="BR78" s="197"/>
      <c r="BS78" s="197"/>
      <c r="BT78" s="197"/>
    </row>
    <row r="79">
      <c r="A79" s="197"/>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c r="BD79" s="197"/>
      <c r="BE79" s="197"/>
      <c r="BF79" s="197"/>
      <c r="BG79" s="197"/>
      <c r="BH79" s="197"/>
      <c r="BI79" s="197"/>
      <c r="BJ79" s="197"/>
      <c r="BK79" s="197"/>
      <c r="BL79" s="197"/>
      <c r="BM79" s="197"/>
      <c r="BN79" s="197"/>
      <c r="BO79" s="197"/>
      <c r="BP79" s="197"/>
      <c r="BQ79" s="197"/>
      <c r="BR79" s="197"/>
      <c r="BS79" s="197"/>
      <c r="BT79" s="197"/>
    </row>
    <row r="80">
      <c r="A80" s="197"/>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7"/>
      <c r="BD80" s="197"/>
      <c r="BE80" s="197"/>
      <c r="BF80" s="197"/>
      <c r="BG80" s="197"/>
      <c r="BH80" s="197"/>
      <c r="BI80" s="197"/>
      <c r="BJ80" s="197"/>
      <c r="BK80" s="197"/>
      <c r="BL80" s="197"/>
      <c r="BM80" s="197"/>
      <c r="BN80" s="197"/>
      <c r="BO80" s="197"/>
      <c r="BP80" s="197"/>
      <c r="BQ80" s="197"/>
      <c r="BR80" s="197"/>
      <c r="BS80" s="197"/>
      <c r="BT80" s="197"/>
    </row>
    <row r="81">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c r="BD81" s="197"/>
      <c r="BE81" s="197"/>
      <c r="BF81" s="197"/>
      <c r="BG81" s="197"/>
      <c r="BH81" s="197"/>
      <c r="BI81" s="197"/>
      <c r="BJ81" s="197"/>
      <c r="BK81" s="197"/>
      <c r="BL81" s="197"/>
      <c r="BM81" s="197"/>
      <c r="BN81" s="197"/>
      <c r="BO81" s="197"/>
      <c r="BP81" s="197"/>
      <c r="BQ81" s="197"/>
      <c r="BR81" s="197"/>
      <c r="BS81" s="197"/>
      <c r="BT81" s="197"/>
    </row>
    <row r="82">
      <c r="A82" s="197"/>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c r="BD82" s="197"/>
      <c r="BE82" s="197"/>
      <c r="BF82" s="197"/>
      <c r="BG82" s="197"/>
      <c r="BH82" s="197"/>
      <c r="BI82" s="197"/>
      <c r="BJ82" s="197"/>
      <c r="BK82" s="197"/>
      <c r="BL82" s="197"/>
      <c r="BM82" s="197"/>
      <c r="BN82" s="197"/>
      <c r="BO82" s="197"/>
      <c r="BP82" s="197"/>
      <c r="BQ82" s="197"/>
      <c r="BR82" s="197"/>
      <c r="BS82" s="197"/>
      <c r="BT82" s="197"/>
    </row>
    <row r="83">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c r="BD83" s="197"/>
      <c r="BE83" s="197"/>
      <c r="BF83" s="197"/>
      <c r="BG83" s="197"/>
      <c r="BH83" s="197"/>
      <c r="BI83" s="197"/>
      <c r="BJ83" s="197"/>
      <c r="BK83" s="197"/>
      <c r="BL83" s="197"/>
      <c r="BM83" s="197"/>
      <c r="BN83" s="197"/>
      <c r="BO83" s="197"/>
      <c r="BP83" s="197"/>
      <c r="BQ83" s="197"/>
      <c r="BR83" s="197"/>
      <c r="BS83" s="197"/>
      <c r="BT83" s="197"/>
    </row>
    <row r="84">
      <c r="A84" s="197"/>
      <c r="B84" s="197"/>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197"/>
      <c r="BG84" s="197"/>
      <c r="BH84" s="197"/>
      <c r="BI84" s="197"/>
      <c r="BJ84" s="197"/>
      <c r="BK84" s="197"/>
      <c r="BL84" s="197"/>
      <c r="BM84" s="197"/>
      <c r="BN84" s="197"/>
      <c r="BO84" s="197"/>
      <c r="BP84" s="197"/>
      <c r="BQ84" s="197"/>
      <c r="BR84" s="197"/>
      <c r="BS84" s="197"/>
      <c r="BT84" s="197"/>
    </row>
    <row r="85">
      <c r="A85" s="197"/>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197"/>
      <c r="BJ85" s="197"/>
      <c r="BK85" s="197"/>
      <c r="BL85" s="197"/>
      <c r="BM85" s="197"/>
      <c r="BN85" s="197"/>
      <c r="BO85" s="197"/>
      <c r="BP85" s="197"/>
      <c r="BQ85" s="197"/>
      <c r="BR85" s="197"/>
      <c r="BS85" s="197"/>
      <c r="BT85" s="197"/>
    </row>
    <row r="86">
      <c r="A86" s="197"/>
      <c r="B86" s="197"/>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197"/>
      <c r="BG86" s="197"/>
      <c r="BH86" s="197"/>
      <c r="BI86" s="197"/>
      <c r="BJ86" s="197"/>
      <c r="BK86" s="197"/>
      <c r="BL86" s="197"/>
      <c r="BM86" s="197"/>
      <c r="BN86" s="197"/>
      <c r="BO86" s="197"/>
      <c r="BP86" s="197"/>
      <c r="BQ86" s="197"/>
      <c r="BR86" s="197"/>
      <c r="BS86" s="197"/>
      <c r="BT86" s="197"/>
    </row>
    <row r="87">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197"/>
      <c r="BG87" s="197"/>
      <c r="BH87" s="197"/>
      <c r="BI87" s="197"/>
      <c r="BJ87" s="197"/>
      <c r="BK87" s="197"/>
      <c r="BL87" s="197"/>
      <c r="BM87" s="197"/>
      <c r="BN87" s="197"/>
      <c r="BO87" s="197"/>
      <c r="BP87" s="197"/>
      <c r="BQ87" s="197"/>
      <c r="BR87" s="197"/>
      <c r="BS87" s="197"/>
      <c r="BT87" s="197"/>
    </row>
    <row r="88">
      <c r="A88" s="197"/>
      <c r="B88" s="197"/>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c r="AA88" s="197"/>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7"/>
      <c r="BD88" s="197"/>
      <c r="BE88" s="197"/>
      <c r="BF88" s="197"/>
      <c r="BG88" s="197"/>
      <c r="BH88" s="197"/>
      <c r="BI88" s="197"/>
      <c r="BJ88" s="197"/>
      <c r="BK88" s="197"/>
      <c r="BL88" s="197"/>
      <c r="BM88" s="197"/>
      <c r="BN88" s="197"/>
      <c r="BO88" s="197"/>
      <c r="BP88" s="197"/>
      <c r="BQ88" s="197"/>
      <c r="BR88" s="197"/>
      <c r="BS88" s="197"/>
      <c r="BT88" s="197"/>
    </row>
    <row r="89">
      <c r="A89" s="197"/>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7"/>
      <c r="BD89" s="197"/>
      <c r="BE89" s="197"/>
      <c r="BF89" s="197"/>
      <c r="BG89" s="197"/>
      <c r="BH89" s="197"/>
      <c r="BI89" s="197"/>
      <c r="BJ89" s="197"/>
      <c r="BK89" s="197"/>
      <c r="BL89" s="197"/>
      <c r="BM89" s="197"/>
      <c r="BN89" s="197"/>
      <c r="BO89" s="197"/>
      <c r="BP89" s="197"/>
      <c r="BQ89" s="197"/>
      <c r="BR89" s="197"/>
      <c r="BS89" s="197"/>
      <c r="BT89" s="197"/>
    </row>
    <row r="90">
      <c r="A90" s="197"/>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7"/>
      <c r="BD90" s="197"/>
      <c r="BE90" s="197"/>
      <c r="BF90" s="197"/>
      <c r="BG90" s="197"/>
      <c r="BH90" s="197"/>
      <c r="BI90" s="197"/>
      <c r="BJ90" s="197"/>
      <c r="BK90" s="197"/>
      <c r="BL90" s="197"/>
      <c r="BM90" s="197"/>
      <c r="BN90" s="197"/>
      <c r="BO90" s="197"/>
      <c r="BP90" s="197"/>
      <c r="BQ90" s="197"/>
      <c r="BR90" s="197"/>
      <c r="BS90" s="197"/>
      <c r="BT90" s="197"/>
    </row>
    <row r="91">
      <c r="A91" s="197"/>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7"/>
      <c r="BD91" s="197"/>
      <c r="BE91" s="197"/>
      <c r="BF91" s="197"/>
      <c r="BG91" s="197"/>
      <c r="BH91" s="197"/>
      <c r="BI91" s="197"/>
      <c r="BJ91" s="197"/>
      <c r="BK91" s="197"/>
      <c r="BL91" s="197"/>
      <c r="BM91" s="197"/>
      <c r="BN91" s="197"/>
      <c r="BO91" s="197"/>
      <c r="BP91" s="197"/>
      <c r="BQ91" s="197"/>
      <c r="BR91" s="197"/>
      <c r="BS91" s="197"/>
      <c r="BT91" s="197"/>
    </row>
    <row r="92">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7"/>
      <c r="BD92" s="197"/>
      <c r="BE92" s="197"/>
      <c r="BF92" s="197"/>
      <c r="BG92" s="197"/>
      <c r="BH92" s="197"/>
      <c r="BI92" s="197"/>
      <c r="BJ92" s="197"/>
      <c r="BK92" s="197"/>
      <c r="BL92" s="197"/>
      <c r="BM92" s="197"/>
      <c r="BN92" s="197"/>
      <c r="BO92" s="197"/>
      <c r="BP92" s="197"/>
      <c r="BQ92" s="197"/>
      <c r="BR92" s="197"/>
      <c r="BS92" s="197"/>
      <c r="BT92" s="197"/>
    </row>
    <row r="93">
      <c r="A93" s="197"/>
      <c r="B93" s="197"/>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c r="AA93" s="197"/>
      <c r="AB93" s="197"/>
      <c r="AC93" s="197"/>
      <c r="AD93" s="197"/>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7"/>
      <c r="BD93" s="197"/>
      <c r="BE93" s="197"/>
      <c r="BF93" s="197"/>
      <c r="BG93" s="197"/>
      <c r="BH93" s="197"/>
      <c r="BI93" s="197"/>
      <c r="BJ93" s="197"/>
      <c r="BK93" s="197"/>
      <c r="BL93" s="197"/>
      <c r="BM93" s="197"/>
      <c r="BN93" s="197"/>
      <c r="BO93" s="197"/>
      <c r="BP93" s="197"/>
      <c r="BQ93" s="197"/>
      <c r="BR93" s="197"/>
      <c r="BS93" s="197"/>
      <c r="BT93" s="197"/>
    </row>
    <row r="94">
      <c r="A94" s="197"/>
      <c r="B94" s="197"/>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c r="AA94" s="197"/>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7"/>
      <c r="BD94" s="197"/>
      <c r="BE94" s="197"/>
      <c r="BF94" s="197"/>
      <c r="BG94" s="197"/>
      <c r="BH94" s="197"/>
      <c r="BI94" s="197"/>
      <c r="BJ94" s="197"/>
      <c r="BK94" s="197"/>
      <c r="BL94" s="197"/>
      <c r="BM94" s="197"/>
      <c r="BN94" s="197"/>
      <c r="BO94" s="197"/>
      <c r="BP94" s="197"/>
      <c r="BQ94" s="197"/>
      <c r="BR94" s="197"/>
      <c r="BS94" s="197"/>
      <c r="BT94" s="197"/>
    </row>
    <row r="95">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c r="AA95" s="197"/>
      <c r="AB95" s="197"/>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7"/>
      <c r="BD95" s="197"/>
      <c r="BE95" s="197"/>
      <c r="BF95" s="197"/>
      <c r="BG95" s="197"/>
      <c r="BH95" s="197"/>
      <c r="BI95" s="197"/>
      <c r="BJ95" s="197"/>
      <c r="BK95" s="197"/>
      <c r="BL95" s="197"/>
      <c r="BM95" s="197"/>
      <c r="BN95" s="197"/>
      <c r="BO95" s="197"/>
      <c r="BP95" s="197"/>
      <c r="BQ95" s="197"/>
      <c r="BR95" s="197"/>
      <c r="BS95" s="197"/>
      <c r="BT95" s="197"/>
    </row>
    <row r="96">
      <c r="A96" s="197"/>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c r="AA96" s="197"/>
      <c r="AB96" s="197"/>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7"/>
      <c r="BD96" s="197"/>
      <c r="BE96" s="197"/>
      <c r="BF96" s="197"/>
      <c r="BG96" s="197"/>
      <c r="BH96" s="197"/>
      <c r="BI96" s="197"/>
      <c r="BJ96" s="197"/>
      <c r="BK96" s="197"/>
      <c r="BL96" s="197"/>
      <c r="BM96" s="197"/>
      <c r="BN96" s="197"/>
      <c r="BO96" s="197"/>
      <c r="BP96" s="197"/>
      <c r="BQ96" s="197"/>
      <c r="BR96" s="197"/>
      <c r="BS96" s="197"/>
      <c r="BT96" s="197"/>
    </row>
    <row r="97">
      <c r="A97" s="197"/>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c r="AA97" s="197"/>
      <c r="AB97" s="197"/>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7"/>
      <c r="BD97" s="197"/>
      <c r="BE97" s="197"/>
      <c r="BF97" s="197"/>
      <c r="BG97" s="197"/>
      <c r="BH97" s="197"/>
      <c r="BI97" s="197"/>
      <c r="BJ97" s="197"/>
      <c r="BK97" s="197"/>
      <c r="BL97" s="197"/>
      <c r="BM97" s="197"/>
      <c r="BN97" s="197"/>
      <c r="BO97" s="197"/>
      <c r="BP97" s="197"/>
      <c r="BQ97" s="197"/>
      <c r="BR97" s="197"/>
      <c r="BS97" s="197"/>
      <c r="BT97" s="197"/>
    </row>
    <row r="98">
      <c r="A98" s="197"/>
      <c r="B98" s="197"/>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c r="AA98" s="197"/>
      <c r="AB98" s="197"/>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7"/>
      <c r="BD98" s="197"/>
      <c r="BE98" s="197"/>
      <c r="BF98" s="197"/>
      <c r="BG98" s="197"/>
      <c r="BH98" s="197"/>
      <c r="BI98" s="197"/>
      <c r="BJ98" s="197"/>
      <c r="BK98" s="197"/>
      <c r="BL98" s="197"/>
      <c r="BM98" s="197"/>
      <c r="BN98" s="197"/>
      <c r="BO98" s="197"/>
      <c r="BP98" s="197"/>
      <c r="BQ98" s="197"/>
      <c r="BR98" s="197"/>
      <c r="BS98" s="197"/>
      <c r="BT98" s="197"/>
    </row>
    <row r="99">
      <c r="A99" s="197"/>
      <c r="B99" s="197"/>
      <c r="C99" s="197"/>
      <c r="D99" s="197"/>
      <c r="E99" s="197"/>
      <c r="F99" s="197"/>
      <c r="G99" s="197"/>
      <c r="H99" s="197"/>
      <c r="I99" s="197"/>
      <c r="J99" s="197"/>
      <c r="K99" s="197"/>
      <c r="L99" s="197"/>
      <c r="M99" s="197"/>
      <c r="N99" s="197"/>
      <c r="O99" s="197"/>
      <c r="P99" s="197"/>
      <c r="Q99" s="197"/>
      <c r="R99" s="197"/>
      <c r="S99" s="197"/>
      <c r="T99" s="197"/>
      <c r="U99" s="197"/>
      <c r="V99" s="197"/>
      <c r="W99" s="197"/>
      <c r="X99" s="197"/>
      <c r="Y99" s="197"/>
      <c r="Z99" s="197"/>
      <c r="AA99" s="197"/>
      <c r="AB99" s="197"/>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c r="AY99" s="197"/>
      <c r="AZ99" s="197"/>
      <c r="BA99" s="197"/>
      <c r="BB99" s="197"/>
      <c r="BC99" s="197"/>
      <c r="BD99" s="197"/>
      <c r="BE99" s="197"/>
      <c r="BF99" s="197"/>
      <c r="BG99" s="197"/>
      <c r="BH99" s="197"/>
      <c r="BI99" s="197"/>
      <c r="BJ99" s="197"/>
      <c r="BK99" s="197"/>
      <c r="BL99" s="197"/>
      <c r="BM99" s="197"/>
      <c r="BN99" s="197"/>
      <c r="BO99" s="197"/>
      <c r="BP99" s="197"/>
      <c r="BQ99" s="197"/>
      <c r="BR99" s="197"/>
      <c r="BS99" s="197"/>
      <c r="BT99" s="197"/>
    </row>
    <row r="100">
      <c r="A100" s="197"/>
      <c r="B100" s="197"/>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c r="AA100" s="197"/>
      <c r="AB100" s="197"/>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c r="AY100" s="197"/>
      <c r="AZ100" s="197"/>
      <c r="BA100" s="197"/>
      <c r="BB100" s="197"/>
      <c r="BC100" s="197"/>
      <c r="BD100" s="197"/>
      <c r="BE100" s="197"/>
      <c r="BF100" s="197"/>
      <c r="BG100" s="197"/>
      <c r="BH100" s="197"/>
      <c r="BI100" s="197"/>
      <c r="BJ100" s="197"/>
      <c r="BK100" s="197"/>
      <c r="BL100" s="197"/>
      <c r="BM100" s="197"/>
      <c r="BN100" s="197"/>
      <c r="BO100" s="197"/>
      <c r="BP100" s="197"/>
      <c r="BQ100" s="197"/>
      <c r="BR100" s="197"/>
      <c r="BS100" s="197"/>
      <c r="BT100" s="197"/>
    </row>
    <row r="101">
      <c r="A101" s="197"/>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c r="BD101" s="197"/>
      <c r="BE101" s="197"/>
      <c r="BF101" s="197"/>
      <c r="BG101" s="197"/>
      <c r="BH101" s="197"/>
      <c r="BI101" s="197"/>
      <c r="BJ101" s="197"/>
      <c r="BK101" s="197"/>
      <c r="BL101" s="197"/>
      <c r="BM101" s="197"/>
      <c r="BN101" s="197"/>
      <c r="BO101" s="197"/>
      <c r="BP101" s="197"/>
      <c r="BQ101" s="197"/>
      <c r="BR101" s="197"/>
      <c r="BS101" s="197"/>
      <c r="BT101" s="197"/>
    </row>
    <row r="102">
      <c r="A102" s="197"/>
      <c r="B102" s="197"/>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c r="AA102" s="197"/>
      <c r="AB102" s="197"/>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c r="AY102" s="197"/>
      <c r="AZ102" s="197"/>
      <c r="BA102" s="197"/>
      <c r="BB102" s="197"/>
      <c r="BC102" s="197"/>
      <c r="BD102" s="197"/>
      <c r="BE102" s="197"/>
      <c r="BF102" s="197"/>
      <c r="BG102" s="197"/>
      <c r="BH102" s="197"/>
      <c r="BI102" s="197"/>
      <c r="BJ102" s="197"/>
      <c r="BK102" s="197"/>
      <c r="BL102" s="197"/>
      <c r="BM102" s="197"/>
      <c r="BN102" s="197"/>
      <c r="BO102" s="197"/>
      <c r="BP102" s="197"/>
      <c r="BQ102" s="197"/>
      <c r="BR102" s="197"/>
      <c r="BS102" s="197"/>
      <c r="BT102" s="197"/>
    </row>
    <row r="103">
      <c r="A103" s="197"/>
      <c r="B103" s="197"/>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c r="AY103" s="197"/>
      <c r="AZ103" s="197"/>
      <c r="BA103" s="197"/>
      <c r="BB103" s="197"/>
      <c r="BC103" s="197"/>
      <c r="BD103" s="197"/>
      <c r="BE103" s="197"/>
      <c r="BF103" s="197"/>
      <c r="BG103" s="197"/>
      <c r="BH103" s="197"/>
      <c r="BI103" s="197"/>
      <c r="BJ103" s="197"/>
      <c r="BK103" s="197"/>
      <c r="BL103" s="197"/>
      <c r="BM103" s="197"/>
      <c r="BN103" s="197"/>
      <c r="BO103" s="197"/>
      <c r="BP103" s="197"/>
      <c r="BQ103" s="197"/>
      <c r="BR103" s="197"/>
      <c r="BS103" s="197"/>
      <c r="BT103" s="197"/>
    </row>
    <row r="104">
      <c r="A104" s="197"/>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c r="AA104" s="197"/>
      <c r="AB104" s="197"/>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c r="AZ104" s="197"/>
      <c r="BA104" s="197"/>
      <c r="BB104" s="197"/>
      <c r="BC104" s="197"/>
      <c r="BD104" s="197"/>
      <c r="BE104" s="197"/>
      <c r="BF104" s="197"/>
      <c r="BG104" s="197"/>
      <c r="BH104" s="197"/>
      <c r="BI104" s="197"/>
      <c r="BJ104" s="197"/>
      <c r="BK104" s="197"/>
      <c r="BL104" s="197"/>
      <c r="BM104" s="197"/>
      <c r="BN104" s="197"/>
      <c r="BO104" s="197"/>
      <c r="BP104" s="197"/>
      <c r="BQ104" s="197"/>
      <c r="BR104" s="197"/>
      <c r="BS104" s="197"/>
      <c r="BT104" s="197"/>
    </row>
    <row r="105">
      <c r="A105" s="197"/>
      <c r="B105" s="197"/>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c r="AA105" s="197"/>
      <c r="AB105" s="197"/>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c r="AY105" s="197"/>
      <c r="AZ105" s="197"/>
      <c r="BA105" s="197"/>
      <c r="BB105" s="197"/>
      <c r="BC105" s="197"/>
      <c r="BD105" s="197"/>
      <c r="BE105" s="197"/>
      <c r="BF105" s="197"/>
      <c r="BG105" s="197"/>
      <c r="BH105" s="197"/>
      <c r="BI105" s="197"/>
      <c r="BJ105" s="197"/>
      <c r="BK105" s="197"/>
      <c r="BL105" s="197"/>
      <c r="BM105" s="197"/>
      <c r="BN105" s="197"/>
      <c r="BO105" s="197"/>
      <c r="BP105" s="197"/>
      <c r="BQ105" s="197"/>
      <c r="BR105" s="197"/>
      <c r="BS105" s="197"/>
      <c r="BT105" s="197"/>
    </row>
    <row r="106">
      <c r="A106" s="197"/>
      <c r="B106" s="197"/>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c r="AA106" s="197"/>
      <c r="AB106" s="197"/>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c r="AY106" s="197"/>
      <c r="AZ106" s="197"/>
      <c r="BA106" s="197"/>
      <c r="BB106" s="197"/>
      <c r="BC106" s="197"/>
      <c r="BD106" s="197"/>
      <c r="BE106" s="197"/>
      <c r="BF106" s="197"/>
      <c r="BG106" s="197"/>
      <c r="BH106" s="197"/>
      <c r="BI106" s="197"/>
      <c r="BJ106" s="197"/>
      <c r="BK106" s="197"/>
      <c r="BL106" s="197"/>
      <c r="BM106" s="197"/>
      <c r="BN106" s="197"/>
      <c r="BO106" s="197"/>
      <c r="BP106" s="197"/>
      <c r="BQ106" s="197"/>
      <c r="BR106" s="197"/>
      <c r="BS106" s="197"/>
      <c r="BT106" s="197"/>
    </row>
    <row r="107">
      <c r="A107" s="197"/>
      <c r="B107" s="197"/>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c r="AA107" s="197"/>
      <c r="AB107" s="197"/>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c r="AY107" s="197"/>
      <c r="AZ107" s="197"/>
      <c r="BA107" s="197"/>
      <c r="BB107" s="197"/>
      <c r="BC107" s="197"/>
      <c r="BD107" s="197"/>
      <c r="BE107" s="197"/>
      <c r="BF107" s="197"/>
      <c r="BG107" s="197"/>
      <c r="BH107" s="197"/>
      <c r="BI107" s="197"/>
      <c r="BJ107" s="197"/>
      <c r="BK107" s="197"/>
      <c r="BL107" s="197"/>
      <c r="BM107" s="197"/>
      <c r="BN107" s="197"/>
      <c r="BO107" s="197"/>
      <c r="BP107" s="197"/>
      <c r="BQ107" s="197"/>
      <c r="BR107" s="197"/>
      <c r="BS107" s="197"/>
      <c r="BT107" s="197"/>
    </row>
    <row r="108">
      <c r="A108" s="197"/>
      <c r="B108" s="197"/>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c r="AA108" s="197"/>
      <c r="AB108" s="197"/>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c r="AY108" s="197"/>
      <c r="AZ108" s="197"/>
      <c r="BA108" s="197"/>
      <c r="BB108" s="197"/>
      <c r="BC108" s="197"/>
      <c r="BD108" s="197"/>
      <c r="BE108" s="197"/>
      <c r="BF108" s="197"/>
      <c r="BG108" s="197"/>
      <c r="BH108" s="197"/>
      <c r="BI108" s="197"/>
      <c r="BJ108" s="197"/>
      <c r="BK108" s="197"/>
      <c r="BL108" s="197"/>
      <c r="BM108" s="197"/>
      <c r="BN108" s="197"/>
      <c r="BO108" s="197"/>
      <c r="BP108" s="197"/>
      <c r="BQ108" s="197"/>
      <c r="BR108" s="197"/>
      <c r="BS108" s="197"/>
      <c r="BT108" s="197"/>
    </row>
    <row r="109">
      <c r="A109" s="197"/>
      <c r="B109" s="197"/>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c r="AA109" s="197"/>
      <c r="AB109" s="197"/>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c r="AY109" s="197"/>
      <c r="AZ109" s="197"/>
      <c r="BA109" s="197"/>
      <c r="BB109" s="197"/>
      <c r="BC109" s="197"/>
      <c r="BD109" s="197"/>
      <c r="BE109" s="197"/>
      <c r="BF109" s="197"/>
      <c r="BG109" s="197"/>
      <c r="BH109" s="197"/>
      <c r="BI109" s="197"/>
      <c r="BJ109" s="197"/>
      <c r="BK109" s="197"/>
      <c r="BL109" s="197"/>
      <c r="BM109" s="197"/>
      <c r="BN109" s="197"/>
      <c r="BO109" s="197"/>
      <c r="BP109" s="197"/>
      <c r="BQ109" s="197"/>
      <c r="BR109" s="197"/>
      <c r="BS109" s="197"/>
      <c r="BT109" s="197"/>
    </row>
    <row r="110">
      <c r="A110" s="197"/>
      <c r="B110" s="197"/>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c r="AA110" s="197"/>
      <c r="AB110" s="197"/>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c r="AY110" s="197"/>
      <c r="AZ110" s="197"/>
      <c r="BA110" s="197"/>
      <c r="BB110" s="197"/>
      <c r="BC110" s="197"/>
      <c r="BD110" s="197"/>
      <c r="BE110" s="197"/>
      <c r="BF110" s="197"/>
      <c r="BG110" s="197"/>
      <c r="BH110" s="197"/>
      <c r="BI110" s="197"/>
      <c r="BJ110" s="197"/>
      <c r="BK110" s="197"/>
      <c r="BL110" s="197"/>
      <c r="BM110" s="197"/>
      <c r="BN110" s="197"/>
      <c r="BO110" s="197"/>
      <c r="BP110" s="197"/>
      <c r="BQ110" s="197"/>
      <c r="BR110" s="197"/>
      <c r="BS110" s="197"/>
      <c r="BT110" s="197"/>
    </row>
    <row r="111">
      <c r="A111" s="197"/>
      <c r="B111" s="197"/>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c r="AA111" s="197"/>
      <c r="AB111" s="197"/>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c r="AY111" s="197"/>
      <c r="AZ111" s="197"/>
      <c r="BA111" s="197"/>
      <c r="BB111" s="197"/>
      <c r="BC111" s="197"/>
      <c r="BD111" s="197"/>
      <c r="BE111" s="197"/>
      <c r="BF111" s="197"/>
      <c r="BG111" s="197"/>
      <c r="BH111" s="197"/>
      <c r="BI111" s="197"/>
      <c r="BJ111" s="197"/>
      <c r="BK111" s="197"/>
      <c r="BL111" s="197"/>
      <c r="BM111" s="197"/>
      <c r="BN111" s="197"/>
      <c r="BO111" s="197"/>
      <c r="BP111" s="197"/>
      <c r="BQ111" s="197"/>
      <c r="BR111" s="197"/>
      <c r="BS111" s="197"/>
      <c r="BT111" s="197"/>
    </row>
    <row r="112">
      <c r="A112" s="197"/>
      <c r="B112" s="197"/>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c r="AA112" s="197"/>
      <c r="AB112" s="197"/>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c r="AY112" s="197"/>
      <c r="AZ112" s="197"/>
      <c r="BA112" s="197"/>
      <c r="BB112" s="197"/>
      <c r="BC112" s="197"/>
      <c r="BD112" s="197"/>
      <c r="BE112" s="197"/>
      <c r="BF112" s="197"/>
      <c r="BG112" s="197"/>
      <c r="BH112" s="197"/>
      <c r="BI112" s="197"/>
      <c r="BJ112" s="197"/>
      <c r="BK112" s="197"/>
      <c r="BL112" s="197"/>
      <c r="BM112" s="197"/>
      <c r="BN112" s="197"/>
      <c r="BO112" s="197"/>
      <c r="BP112" s="197"/>
      <c r="BQ112" s="197"/>
      <c r="BR112" s="197"/>
      <c r="BS112" s="197"/>
      <c r="BT112" s="197"/>
    </row>
    <row r="113">
      <c r="A113" s="197"/>
      <c r="B113" s="197"/>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c r="AA113" s="197"/>
      <c r="AB113" s="197"/>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c r="AY113" s="197"/>
      <c r="AZ113" s="197"/>
      <c r="BA113" s="197"/>
      <c r="BB113" s="197"/>
      <c r="BC113" s="197"/>
      <c r="BD113" s="197"/>
      <c r="BE113" s="197"/>
      <c r="BF113" s="197"/>
      <c r="BG113" s="197"/>
      <c r="BH113" s="197"/>
      <c r="BI113" s="197"/>
      <c r="BJ113" s="197"/>
      <c r="BK113" s="197"/>
      <c r="BL113" s="197"/>
      <c r="BM113" s="197"/>
      <c r="BN113" s="197"/>
      <c r="BO113" s="197"/>
      <c r="BP113" s="197"/>
      <c r="BQ113" s="197"/>
      <c r="BR113" s="197"/>
      <c r="BS113" s="197"/>
      <c r="BT113" s="197"/>
    </row>
    <row r="114">
      <c r="A114" s="197"/>
      <c r="B114" s="197"/>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7"/>
      <c r="BD114" s="197"/>
      <c r="BE114" s="197"/>
      <c r="BF114" s="197"/>
      <c r="BG114" s="197"/>
      <c r="BH114" s="197"/>
      <c r="BI114" s="197"/>
      <c r="BJ114" s="197"/>
      <c r="BK114" s="197"/>
      <c r="BL114" s="197"/>
      <c r="BM114" s="197"/>
      <c r="BN114" s="197"/>
      <c r="BO114" s="197"/>
      <c r="BP114" s="197"/>
      <c r="BQ114" s="197"/>
      <c r="BR114" s="197"/>
      <c r="BS114" s="197"/>
      <c r="BT114" s="197"/>
    </row>
    <row r="115">
      <c r="A115" s="197"/>
      <c r="B115" s="197"/>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c r="AA115" s="197"/>
      <c r="AB115" s="197"/>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c r="AY115" s="197"/>
      <c r="AZ115" s="197"/>
      <c r="BA115" s="197"/>
      <c r="BB115" s="197"/>
      <c r="BC115" s="197"/>
      <c r="BD115" s="197"/>
      <c r="BE115" s="197"/>
      <c r="BF115" s="197"/>
      <c r="BG115" s="197"/>
      <c r="BH115" s="197"/>
      <c r="BI115" s="197"/>
      <c r="BJ115" s="197"/>
      <c r="BK115" s="197"/>
      <c r="BL115" s="197"/>
      <c r="BM115" s="197"/>
      <c r="BN115" s="197"/>
      <c r="BO115" s="197"/>
      <c r="BP115" s="197"/>
      <c r="BQ115" s="197"/>
      <c r="BR115" s="197"/>
      <c r="BS115" s="197"/>
      <c r="BT115" s="197"/>
    </row>
    <row r="116">
      <c r="A116" s="197"/>
      <c r="B116" s="197"/>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c r="AA116" s="197"/>
      <c r="AB116" s="197"/>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c r="AY116" s="197"/>
      <c r="AZ116" s="197"/>
      <c r="BA116" s="197"/>
      <c r="BB116" s="197"/>
      <c r="BC116" s="197"/>
      <c r="BD116" s="197"/>
      <c r="BE116" s="197"/>
      <c r="BF116" s="197"/>
      <c r="BG116" s="197"/>
      <c r="BH116" s="197"/>
      <c r="BI116" s="197"/>
      <c r="BJ116" s="197"/>
      <c r="BK116" s="197"/>
      <c r="BL116" s="197"/>
      <c r="BM116" s="197"/>
      <c r="BN116" s="197"/>
      <c r="BO116" s="197"/>
      <c r="BP116" s="197"/>
      <c r="BQ116" s="197"/>
      <c r="BR116" s="197"/>
      <c r="BS116" s="197"/>
      <c r="BT116" s="197"/>
    </row>
    <row r="117">
      <c r="A117" s="197"/>
      <c r="B117" s="197"/>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c r="AA117" s="197"/>
      <c r="AB117" s="197"/>
      <c r="AC117" s="197"/>
      <c r="AD117" s="197"/>
      <c r="AE117" s="197"/>
      <c r="AF117" s="197"/>
      <c r="AG117" s="197"/>
      <c r="AH117" s="197"/>
      <c r="AI117" s="197"/>
      <c r="AJ117" s="197"/>
      <c r="AK117" s="197"/>
      <c r="AL117" s="197"/>
      <c r="AM117" s="197"/>
      <c r="AN117" s="197"/>
      <c r="AO117" s="197"/>
      <c r="AP117" s="197"/>
      <c r="AQ117" s="197"/>
      <c r="AR117" s="197"/>
      <c r="AS117" s="197"/>
      <c r="AT117" s="197"/>
      <c r="AU117" s="197"/>
      <c r="AV117" s="197"/>
      <c r="AW117" s="197"/>
      <c r="AX117" s="197"/>
      <c r="AY117" s="197"/>
      <c r="AZ117" s="197"/>
      <c r="BA117" s="197"/>
      <c r="BB117" s="197"/>
      <c r="BC117" s="197"/>
      <c r="BD117" s="197"/>
      <c r="BE117" s="197"/>
      <c r="BF117" s="197"/>
      <c r="BG117" s="197"/>
      <c r="BH117" s="197"/>
      <c r="BI117" s="197"/>
      <c r="BJ117" s="197"/>
      <c r="BK117" s="197"/>
      <c r="BL117" s="197"/>
      <c r="BM117" s="197"/>
      <c r="BN117" s="197"/>
      <c r="BO117" s="197"/>
      <c r="BP117" s="197"/>
      <c r="BQ117" s="197"/>
      <c r="BR117" s="197"/>
      <c r="BS117" s="197"/>
      <c r="BT117" s="197"/>
    </row>
    <row r="118">
      <c r="A118" s="197"/>
      <c r="B118" s="197"/>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c r="AA118" s="197"/>
      <c r="AB118" s="197"/>
      <c r="AC118" s="197"/>
      <c r="AD118" s="197"/>
      <c r="AE118" s="197"/>
      <c r="AF118" s="197"/>
      <c r="AG118" s="197"/>
      <c r="AH118" s="197"/>
      <c r="AI118" s="197"/>
      <c r="AJ118" s="197"/>
      <c r="AK118" s="197"/>
      <c r="AL118" s="197"/>
      <c r="AM118" s="197"/>
      <c r="AN118" s="197"/>
      <c r="AO118" s="197"/>
      <c r="AP118" s="197"/>
      <c r="AQ118" s="197"/>
      <c r="AR118" s="197"/>
      <c r="AS118" s="197"/>
      <c r="AT118" s="197"/>
      <c r="AU118" s="197"/>
      <c r="AV118" s="197"/>
      <c r="AW118" s="197"/>
      <c r="AX118" s="197"/>
      <c r="AY118" s="197"/>
      <c r="AZ118" s="197"/>
      <c r="BA118" s="197"/>
      <c r="BB118" s="197"/>
      <c r="BC118" s="197"/>
      <c r="BD118" s="197"/>
      <c r="BE118" s="197"/>
      <c r="BF118" s="197"/>
      <c r="BG118" s="197"/>
      <c r="BH118" s="197"/>
      <c r="BI118" s="197"/>
      <c r="BJ118" s="197"/>
      <c r="BK118" s="197"/>
      <c r="BL118" s="197"/>
      <c r="BM118" s="197"/>
      <c r="BN118" s="197"/>
      <c r="BO118" s="197"/>
      <c r="BP118" s="197"/>
      <c r="BQ118" s="197"/>
      <c r="BR118" s="197"/>
      <c r="BS118" s="197"/>
      <c r="BT118" s="197"/>
    </row>
    <row r="119">
      <c r="A119" s="197"/>
      <c r="B119" s="197"/>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c r="AA119" s="197"/>
      <c r="AB119" s="197"/>
      <c r="AC119" s="197"/>
      <c r="AD119" s="197"/>
      <c r="AE119" s="197"/>
      <c r="AF119" s="197"/>
      <c r="AG119" s="197"/>
      <c r="AH119" s="197"/>
      <c r="AI119" s="197"/>
      <c r="AJ119" s="197"/>
      <c r="AK119" s="197"/>
      <c r="AL119" s="197"/>
      <c r="AM119" s="197"/>
      <c r="AN119" s="197"/>
      <c r="AO119" s="197"/>
      <c r="AP119" s="197"/>
      <c r="AQ119" s="197"/>
      <c r="AR119" s="197"/>
      <c r="AS119" s="197"/>
      <c r="AT119" s="197"/>
      <c r="AU119" s="197"/>
      <c r="AV119" s="197"/>
      <c r="AW119" s="197"/>
      <c r="AX119" s="197"/>
      <c r="AY119" s="197"/>
      <c r="AZ119" s="197"/>
      <c r="BA119" s="197"/>
      <c r="BB119" s="197"/>
      <c r="BC119" s="197"/>
      <c r="BD119" s="197"/>
      <c r="BE119" s="197"/>
      <c r="BF119" s="197"/>
      <c r="BG119" s="197"/>
      <c r="BH119" s="197"/>
      <c r="BI119" s="197"/>
      <c r="BJ119" s="197"/>
      <c r="BK119" s="197"/>
      <c r="BL119" s="197"/>
      <c r="BM119" s="197"/>
      <c r="BN119" s="197"/>
      <c r="BO119" s="197"/>
      <c r="BP119" s="197"/>
      <c r="BQ119" s="197"/>
      <c r="BR119" s="197"/>
      <c r="BS119" s="197"/>
      <c r="BT119" s="197"/>
    </row>
    <row r="120">
      <c r="A120" s="197"/>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c r="AA120" s="197"/>
      <c r="AB120" s="197"/>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c r="AY120" s="197"/>
      <c r="AZ120" s="197"/>
      <c r="BA120" s="197"/>
      <c r="BB120" s="197"/>
      <c r="BC120" s="197"/>
      <c r="BD120" s="197"/>
      <c r="BE120" s="197"/>
      <c r="BF120" s="197"/>
      <c r="BG120" s="197"/>
      <c r="BH120" s="197"/>
      <c r="BI120" s="197"/>
      <c r="BJ120" s="197"/>
      <c r="BK120" s="197"/>
      <c r="BL120" s="197"/>
      <c r="BM120" s="197"/>
      <c r="BN120" s="197"/>
      <c r="BO120" s="197"/>
      <c r="BP120" s="197"/>
      <c r="BQ120" s="197"/>
      <c r="BR120" s="197"/>
      <c r="BS120" s="197"/>
      <c r="BT120" s="197"/>
    </row>
    <row r="121">
      <c r="A121" s="197"/>
      <c r="B121" s="197"/>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c r="AA121" s="197"/>
      <c r="AB121" s="197"/>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c r="AY121" s="197"/>
      <c r="AZ121" s="197"/>
      <c r="BA121" s="197"/>
      <c r="BB121" s="197"/>
      <c r="BC121" s="197"/>
      <c r="BD121" s="197"/>
      <c r="BE121" s="197"/>
      <c r="BF121" s="197"/>
      <c r="BG121" s="197"/>
      <c r="BH121" s="197"/>
      <c r="BI121" s="197"/>
      <c r="BJ121" s="197"/>
      <c r="BK121" s="197"/>
      <c r="BL121" s="197"/>
      <c r="BM121" s="197"/>
      <c r="BN121" s="197"/>
      <c r="BO121" s="197"/>
      <c r="BP121" s="197"/>
      <c r="BQ121" s="197"/>
      <c r="BR121" s="197"/>
      <c r="BS121" s="197"/>
      <c r="BT121" s="197"/>
    </row>
    <row r="122">
      <c r="A122" s="197"/>
      <c r="B122" s="197"/>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c r="AA122" s="197"/>
      <c r="AB122" s="197"/>
      <c r="AC122" s="197"/>
      <c r="AD122" s="197"/>
      <c r="AE122" s="197"/>
      <c r="AF122" s="197"/>
      <c r="AG122" s="197"/>
      <c r="AH122" s="197"/>
      <c r="AI122" s="197"/>
      <c r="AJ122" s="197"/>
      <c r="AK122" s="197"/>
      <c r="AL122" s="197"/>
      <c r="AM122" s="197"/>
      <c r="AN122" s="197"/>
      <c r="AO122" s="197"/>
      <c r="AP122" s="197"/>
      <c r="AQ122" s="197"/>
      <c r="AR122" s="197"/>
      <c r="AS122" s="197"/>
      <c r="AT122" s="197"/>
      <c r="AU122" s="197"/>
      <c r="AV122" s="197"/>
      <c r="AW122" s="197"/>
      <c r="AX122" s="197"/>
      <c r="AY122" s="197"/>
      <c r="AZ122" s="197"/>
      <c r="BA122" s="197"/>
      <c r="BB122" s="197"/>
      <c r="BC122" s="197"/>
      <c r="BD122" s="197"/>
      <c r="BE122" s="197"/>
      <c r="BF122" s="197"/>
      <c r="BG122" s="197"/>
      <c r="BH122" s="197"/>
      <c r="BI122" s="197"/>
      <c r="BJ122" s="197"/>
      <c r="BK122" s="197"/>
      <c r="BL122" s="197"/>
      <c r="BM122" s="197"/>
      <c r="BN122" s="197"/>
      <c r="BO122" s="197"/>
      <c r="BP122" s="197"/>
      <c r="BQ122" s="197"/>
      <c r="BR122" s="197"/>
      <c r="BS122" s="197"/>
      <c r="BT122" s="197"/>
    </row>
    <row r="123">
      <c r="A123" s="197"/>
      <c r="B123" s="197"/>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c r="BC123" s="197"/>
      <c r="BD123" s="197"/>
      <c r="BE123" s="197"/>
      <c r="BF123" s="197"/>
      <c r="BG123" s="197"/>
      <c r="BH123" s="197"/>
      <c r="BI123" s="197"/>
      <c r="BJ123" s="197"/>
      <c r="BK123" s="197"/>
      <c r="BL123" s="197"/>
      <c r="BM123" s="197"/>
      <c r="BN123" s="197"/>
      <c r="BO123" s="197"/>
      <c r="BP123" s="197"/>
      <c r="BQ123" s="197"/>
      <c r="BR123" s="197"/>
      <c r="BS123" s="197"/>
      <c r="BT123" s="197"/>
    </row>
    <row r="124">
      <c r="A124" s="197"/>
      <c r="B124" s="197"/>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c r="BC124" s="197"/>
      <c r="BD124" s="197"/>
      <c r="BE124" s="197"/>
      <c r="BF124" s="197"/>
      <c r="BG124" s="197"/>
      <c r="BH124" s="197"/>
      <c r="BI124" s="197"/>
      <c r="BJ124" s="197"/>
      <c r="BK124" s="197"/>
      <c r="BL124" s="197"/>
      <c r="BM124" s="197"/>
      <c r="BN124" s="197"/>
      <c r="BO124" s="197"/>
      <c r="BP124" s="197"/>
      <c r="BQ124" s="197"/>
      <c r="BR124" s="197"/>
      <c r="BS124" s="197"/>
      <c r="BT124" s="197"/>
    </row>
    <row r="125">
      <c r="A125" s="197"/>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7"/>
      <c r="BD125" s="197"/>
      <c r="BE125" s="197"/>
      <c r="BF125" s="197"/>
      <c r="BG125" s="197"/>
      <c r="BH125" s="197"/>
      <c r="BI125" s="197"/>
      <c r="BJ125" s="197"/>
      <c r="BK125" s="197"/>
      <c r="BL125" s="197"/>
      <c r="BM125" s="197"/>
      <c r="BN125" s="197"/>
      <c r="BO125" s="197"/>
      <c r="BP125" s="197"/>
      <c r="BQ125" s="197"/>
      <c r="BR125" s="197"/>
      <c r="BS125" s="197"/>
      <c r="BT125" s="197"/>
    </row>
    <row r="126">
      <c r="A126" s="197"/>
      <c r="B126" s="197"/>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c r="BC126" s="197"/>
      <c r="BD126" s="197"/>
      <c r="BE126" s="197"/>
      <c r="BF126" s="197"/>
      <c r="BG126" s="197"/>
      <c r="BH126" s="197"/>
      <c r="BI126" s="197"/>
      <c r="BJ126" s="197"/>
      <c r="BK126" s="197"/>
      <c r="BL126" s="197"/>
      <c r="BM126" s="197"/>
      <c r="BN126" s="197"/>
      <c r="BO126" s="197"/>
      <c r="BP126" s="197"/>
      <c r="BQ126" s="197"/>
      <c r="BR126" s="197"/>
      <c r="BS126" s="197"/>
      <c r="BT126" s="197"/>
    </row>
    <row r="127">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c r="BD127" s="197"/>
      <c r="BE127" s="197"/>
      <c r="BF127" s="197"/>
      <c r="BG127" s="197"/>
      <c r="BH127" s="197"/>
      <c r="BI127" s="197"/>
      <c r="BJ127" s="197"/>
      <c r="BK127" s="197"/>
      <c r="BL127" s="197"/>
      <c r="BM127" s="197"/>
      <c r="BN127" s="197"/>
      <c r="BO127" s="197"/>
      <c r="BP127" s="197"/>
      <c r="BQ127" s="197"/>
      <c r="BR127" s="197"/>
      <c r="BS127" s="197"/>
      <c r="BT127" s="197"/>
    </row>
    <row r="128">
      <c r="A128" s="197"/>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c r="BC128" s="197"/>
      <c r="BD128" s="197"/>
      <c r="BE128" s="197"/>
      <c r="BF128" s="197"/>
      <c r="BG128" s="197"/>
      <c r="BH128" s="197"/>
      <c r="BI128" s="197"/>
      <c r="BJ128" s="197"/>
      <c r="BK128" s="197"/>
      <c r="BL128" s="197"/>
      <c r="BM128" s="197"/>
      <c r="BN128" s="197"/>
      <c r="BO128" s="197"/>
      <c r="BP128" s="197"/>
      <c r="BQ128" s="197"/>
      <c r="BR128" s="197"/>
      <c r="BS128" s="197"/>
      <c r="BT128" s="197"/>
    </row>
    <row r="129">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197"/>
      <c r="AU129" s="197"/>
      <c r="AV129" s="197"/>
      <c r="AW129" s="197"/>
      <c r="AX129" s="197"/>
      <c r="AY129" s="197"/>
      <c r="AZ129" s="197"/>
      <c r="BA129" s="197"/>
      <c r="BB129" s="197"/>
      <c r="BC129" s="197"/>
      <c r="BD129" s="197"/>
      <c r="BE129" s="197"/>
      <c r="BF129" s="197"/>
      <c r="BG129" s="197"/>
      <c r="BH129" s="197"/>
      <c r="BI129" s="197"/>
      <c r="BJ129" s="197"/>
      <c r="BK129" s="197"/>
      <c r="BL129" s="197"/>
      <c r="BM129" s="197"/>
      <c r="BN129" s="197"/>
      <c r="BO129" s="197"/>
      <c r="BP129" s="197"/>
      <c r="BQ129" s="197"/>
      <c r="BR129" s="197"/>
      <c r="BS129" s="197"/>
      <c r="BT129" s="197"/>
    </row>
    <row r="130">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c r="BC130" s="197"/>
      <c r="BD130" s="197"/>
      <c r="BE130" s="197"/>
      <c r="BF130" s="197"/>
      <c r="BG130" s="197"/>
      <c r="BH130" s="197"/>
      <c r="BI130" s="197"/>
      <c r="BJ130" s="197"/>
      <c r="BK130" s="197"/>
      <c r="BL130" s="197"/>
      <c r="BM130" s="197"/>
      <c r="BN130" s="197"/>
      <c r="BO130" s="197"/>
      <c r="BP130" s="197"/>
      <c r="BQ130" s="197"/>
      <c r="BR130" s="197"/>
      <c r="BS130" s="197"/>
      <c r="BT130" s="197"/>
    </row>
    <row r="131">
      <c r="A131" s="197"/>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c r="BC131" s="197"/>
      <c r="BD131" s="197"/>
      <c r="BE131" s="197"/>
      <c r="BF131" s="197"/>
      <c r="BG131" s="197"/>
      <c r="BH131" s="197"/>
      <c r="BI131" s="197"/>
      <c r="BJ131" s="197"/>
      <c r="BK131" s="197"/>
      <c r="BL131" s="197"/>
      <c r="BM131" s="197"/>
      <c r="BN131" s="197"/>
      <c r="BO131" s="197"/>
      <c r="BP131" s="197"/>
      <c r="BQ131" s="197"/>
      <c r="BR131" s="197"/>
      <c r="BS131" s="197"/>
      <c r="BT131" s="197"/>
    </row>
    <row r="132">
      <c r="A132" s="197"/>
      <c r="B132" s="197"/>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c r="BC132" s="197"/>
      <c r="BD132" s="197"/>
      <c r="BE132" s="197"/>
      <c r="BF132" s="197"/>
      <c r="BG132" s="197"/>
      <c r="BH132" s="197"/>
      <c r="BI132" s="197"/>
      <c r="BJ132" s="197"/>
      <c r="BK132" s="197"/>
      <c r="BL132" s="197"/>
      <c r="BM132" s="197"/>
      <c r="BN132" s="197"/>
      <c r="BO132" s="197"/>
      <c r="BP132" s="197"/>
      <c r="BQ132" s="197"/>
      <c r="BR132" s="197"/>
      <c r="BS132" s="197"/>
      <c r="BT132" s="197"/>
    </row>
    <row r="133">
      <c r="A133" s="197"/>
      <c r="B133" s="197"/>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c r="BC133" s="197"/>
      <c r="BD133" s="197"/>
      <c r="BE133" s="197"/>
      <c r="BF133" s="197"/>
      <c r="BG133" s="197"/>
      <c r="BH133" s="197"/>
      <c r="BI133" s="197"/>
      <c r="BJ133" s="197"/>
      <c r="BK133" s="197"/>
      <c r="BL133" s="197"/>
      <c r="BM133" s="197"/>
      <c r="BN133" s="197"/>
      <c r="BO133" s="197"/>
      <c r="BP133" s="197"/>
      <c r="BQ133" s="197"/>
      <c r="BR133" s="197"/>
      <c r="BS133" s="197"/>
      <c r="BT133" s="197"/>
    </row>
    <row r="134">
      <c r="A134" s="197"/>
      <c r="B134" s="197"/>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c r="AA134" s="197"/>
      <c r="AB134" s="197"/>
      <c r="AC134" s="197"/>
      <c r="AD134" s="197"/>
      <c r="AE134" s="197"/>
      <c r="AF134" s="197"/>
      <c r="AG134" s="197"/>
      <c r="AH134" s="197"/>
      <c r="AI134" s="197"/>
      <c r="AJ134" s="197"/>
      <c r="AK134" s="197"/>
      <c r="AL134" s="197"/>
      <c r="AM134" s="197"/>
      <c r="AN134" s="197"/>
      <c r="AO134" s="197"/>
      <c r="AP134" s="197"/>
      <c r="AQ134" s="197"/>
      <c r="AR134" s="197"/>
      <c r="AS134" s="197"/>
      <c r="AT134" s="197"/>
      <c r="AU134" s="197"/>
      <c r="AV134" s="197"/>
      <c r="AW134" s="197"/>
      <c r="AX134" s="197"/>
      <c r="AY134" s="197"/>
      <c r="AZ134" s="197"/>
      <c r="BA134" s="197"/>
      <c r="BB134" s="197"/>
      <c r="BC134" s="197"/>
      <c r="BD134" s="197"/>
      <c r="BE134" s="197"/>
      <c r="BF134" s="197"/>
      <c r="BG134" s="197"/>
      <c r="BH134" s="197"/>
      <c r="BI134" s="197"/>
      <c r="BJ134" s="197"/>
      <c r="BK134" s="197"/>
      <c r="BL134" s="197"/>
      <c r="BM134" s="197"/>
      <c r="BN134" s="197"/>
      <c r="BO134" s="197"/>
      <c r="BP134" s="197"/>
      <c r="BQ134" s="197"/>
      <c r="BR134" s="197"/>
      <c r="BS134" s="197"/>
      <c r="BT134" s="197"/>
    </row>
    <row r="135">
      <c r="A135" s="197"/>
      <c r="B135" s="197"/>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c r="AA135" s="197"/>
      <c r="AB135" s="197"/>
      <c r="AC135" s="197"/>
      <c r="AD135" s="197"/>
      <c r="AE135" s="197"/>
      <c r="AF135" s="197"/>
      <c r="AG135" s="197"/>
      <c r="AH135" s="197"/>
      <c r="AI135" s="197"/>
      <c r="AJ135" s="197"/>
      <c r="AK135" s="197"/>
      <c r="AL135" s="197"/>
      <c r="AM135" s="197"/>
      <c r="AN135" s="197"/>
      <c r="AO135" s="197"/>
      <c r="AP135" s="197"/>
      <c r="AQ135" s="197"/>
      <c r="AR135" s="197"/>
      <c r="AS135" s="197"/>
      <c r="AT135" s="197"/>
      <c r="AU135" s="197"/>
      <c r="AV135" s="197"/>
      <c r="AW135" s="197"/>
      <c r="AX135" s="197"/>
      <c r="AY135" s="197"/>
      <c r="AZ135" s="197"/>
      <c r="BA135" s="197"/>
      <c r="BB135" s="197"/>
      <c r="BC135" s="197"/>
      <c r="BD135" s="197"/>
      <c r="BE135" s="197"/>
      <c r="BF135" s="197"/>
      <c r="BG135" s="197"/>
      <c r="BH135" s="197"/>
      <c r="BI135" s="197"/>
      <c r="BJ135" s="197"/>
      <c r="BK135" s="197"/>
      <c r="BL135" s="197"/>
      <c r="BM135" s="197"/>
      <c r="BN135" s="197"/>
      <c r="BO135" s="197"/>
      <c r="BP135" s="197"/>
      <c r="BQ135" s="197"/>
      <c r="BR135" s="197"/>
      <c r="BS135" s="197"/>
      <c r="BT135" s="197"/>
    </row>
    <row r="136">
      <c r="A136" s="197"/>
      <c r="B136" s="197"/>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c r="AE136" s="197"/>
      <c r="AF136" s="197"/>
      <c r="AG136" s="197"/>
      <c r="AH136" s="197"/>
      <c r="AI136" s="197"/>
      <c r="AJ136" s="197"/>
      <c r="AK136" s="197"/>
      <c r="AL136" s="197"/>
      <c r="AM136" s="197"/>
      <c r="AN136" s="197"/>
      <c r="AO136" s="197"/>
      <c r="AP136" s="197"/>
      <c r="AQ136" s="197"/>
      <c r="AR136" s="197"/>
      <c r="AS136" s="197"/>
      <c r="AT136" s="197"/>
      <c r="AU136" s="197"/>
      <c r="AV136" s="197"/>
      <c r="AW136" s="197"/>
      <c r="AX136" s="197"/>
      <c r="AY136" s="197"/>
      <c r="AZ136" s="197"/>
      <c r="BA136" s="197"/>
      <c r="BB136" s="197"/>
      <c r="BC136" s="197"/>
      <c r="BD136" s="197"/>
      <c r="BE136" s="197"/>
      <c r="BF136" s="197"/>
      <c r="BG136" s="197"/>
      <c r="BH136" s="197"/>
      <c r="BI136" s="197"/>
      <c r="BJ136" s="197"/>
      <c r="BK136" s="197"/>
      <c r="BL136" s="197"/>
      <c r="BM136" s="197"/>
      <c r="BN136" s="197"/>
      <c r="BO136" s="197"/>
      <c r="BP136" s="197"/>
      <c r="BQ136" s="197"/>
      <c r="BR136" s="197"/>
      <c r="BS136" s="197"/>
      <c r="BT136" s="197"/>
    </row>
    <row r="137">
      <c r="A137" s="197"/>
      <c r="B137" s="197"/>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c r="AA137" s="197"/>
      <c r="AB137" s="197"/>
      <c r="AC137" s="197"/>
      <c r="AD137" s="197"/>
      <c r="AE137" s="197"/>
      <c r="AF137" s="197"/>
      <c r="AG137" s="197"/>
      <c r="AH137" s="197"/>
      <c r="AI137" s="197"/>
      <c r="AJ137" s="197"/>
      <c r="AK137" s="197"/>
      <c r="AL137" s="197"/>
      <c r="AM137" s="197"/>
      <c r="AN137" s="197"/>
      <c r="AO137" s="197"/>
      <c r="AP137" s="197"/>
      <c r="AQ137" s="197"/>
      <c r="AR137" s="197"/>
      <c r="AS137" s="197"/>
      <c r="AT137" s="197"/>
      <c r="AU137" s="197"/>
      <c r="AV137" s="197"/>
      <c r="AW137" s="197"/>
      <c r="AX137" s="197"/>
      <c r="AY137" s="197"/>
      <c r="AZ137" s="197"/>
      <c r="BA137" s="197"/>
      <c r="BB137" s="197"/>
      <c r="BC137" s="197"/>
      <c r="BD137" s="197"/>
      <c r="BE137" s="197"/>
      <c r="BF137" s="197"/>
      <c r="BG137" s="197"/>
      <c r="BH137" s="197"/>
      <c r="BI137" s="197"/>
      <c r="BJ137" s="197"/>
      <c r="BK137" s="197"/>
      <c r="BL137" s="197"/>
      <c r="BM137" s="197"/>
      <c r="BN137" s="197"/>
      <c r="BO137" s="197"/>
      <c r="BP137" s="197"/>
      <c r="BQ137" s="197"/>
      <c r="BR137" s="197"/>
      <c r="BS137" s="197"/>
      <c r="BT137" s="197"/>
    </row>
    <row r="138">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c r="AA138" s="197"/>
      <c r="AB138" s="197"/>
      <c r="AC138" s="197"/>
      <c r="AD138" s="197"/>
      <c r="AE138" s="197"/>
      <c r="AF138" s="197"/>
      <c r="AG138" s="197"/>
      <c r="AH138" s="197"/>
      <c r="AI138" s="197"/>
      <c r="AJ138" s="197"/>
      <c r="AK138" s="197"/>
      <c r="AL138" s="197"/>
      <c r="AM138" s="197"/>
      <c r="AN138" s="197"/>
      <c r="AO138" s="197"/>
      <c r="AP138" s="197"/>
      <c r="AQ138" s="197"/>
      <c r="AR138" s="197"/>
      <c r="AS138" s="197"/>
      <c r="AT138" s="197"/>
      <c r="AU138" s="197"/>
      <c r="AV138" s="197"/>
      <c r="AW138" s="197"/>
      <c r="AX138" s="197"/>
      <c r="AY138" s="197"/>
      <c r="AZ138" s="197"/>
      <c r="BA138" s="197"/>
      <c r="BB138" s="197"/>
      <c r="BC138" s="197"/>
      <c r="BD138" s="197"/>
      <c r="BE138" s="197"/>
      <c r="BF138" s="197"/>
      <c r="BG138" s="197"/>
      <c r="BH138" s="197"/>
      <c r="BI138" s="197"/>
      <c r="BJ138" s="197"/>
      <c r="BK138" s="197"/>
      <c r="BL138" s="197"/>
      <c r="BM138" s="197"/>
      <c r="BN138" s="197"/>
      <c r="BO138" s="197"/>
      <c r="BP138" s="197"/>
      <c r="BQ138" s="197"/>
      <c r="BR138" s="197"/>
      <c r="BS138" s="197"/>
      <c r="BT138" s="197"/>
    </row>
    <row r="139">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c r="AA139" s="197"/>
      <c r="AB139" s="197"/>
      <c r="AC139" s="197"/>
      <c r="AD139" s="197"/>
      <c r="AE139" s="197"/>
      <c r="AF139" s="197"/>
      <c r="AG139" s="197"/>
      <c r="AH139" s="197"/>
      <c r="AI139" s="197"/>
      <c r="AJ139" s="197"/>
      <c r="AK139" s="197"/>
      <c r="AL139" s="197"/>
      <c r="AM139" s="197"/>
      <c r="AN139" s="197"/>
      <c r="AO139" s="197"/>
      <c r="AP139" s="197"/>
      <c r="AQ139" s="197"/>
      <c r="AR139" s="197"/>
      <c r="AS139" s="197"/>
      <c r="AT139" s="197"/>
      <c r="AU139" s="197"/>
      <c r="AV139" s="197"/>
      <c r="AW139" s="197"/>
      <c r="AX139" s="197"/>
      <c r="AY139" s="197"/>
      <c r="AZ139" s="197"/>
      <c r="BA139" s="197"/>
      <c r="BB139" s="197"/>
      <c r="BC139" s="197"/>
      <c r="BD139" s="197"/>
      <c r="BE139" s="197"/>
      <c r="BF139" s="197"/>
      <c r="BG139" s="197"/>
      <c r="BH139" s="197"/>
      <c r="BI139" s="197"/>
      <c r="BJ139" s="197"/>
      <c r="BK139" s="197"/>
      <c r="BL139" s="197"/>
      <c r="BM139" s="197"/>
      <c r="BN139" s="197"/>
      <c r="BO139" s="197"/>
      <c r="BP139" s="197"/>
      <c r="BQ139" s="197"/>
      <c r="BR139" s="197"/>
      <c r="BS139" s="197"/>
      <c r="BT139" s="197"/>
    </row>
    <row r="140">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c r="AA140" s="197"/>
      <c r="AB140" s="197"/>
      <c r="AC140" s="197"/>
      <c r="AD140" s="197"/>
      <c r="AE140" s="197"/>
      <c r="AF140" s="197"/>
      <c r="AG140" s="197"/>
      <c r="AH140" s="197"/>
      <c r="AI140" s="197"/>
      <c r="AJ140" s="197"/>
      <c r="AK140" s="197"/>
      <c r="AL140" s="197"/>
      <c r="AM140" s="197"/>
      <c r="AN140" s="197"/>
      <c r="AO140" s="197"/>
      <c r="AP140" s="197"/>
      <c r="AQ140" s="197"/>
      <c r="AR140" s="197"/>
      <c r="AS140" s="197"/>
      <c r="AT140" s="197"/>
      <c r="AU140" s="197"/>
      <c r="AV140" s="197"/>
      <c r="AW140" s="197"/>
      <c r="AX140" s="197"/>
      <c r="AY140" s="197"/>
      <c r="AZ140" s="197"/>
      <c r="BA140" s="197"/>
      <c r="BB140" s="197"/>
      <c r="BC140" s="197"/>
      <c r="BD140" s="197"/>
      <c r="BE140" s="197"/>
      <c r="BF140" s="197"/>
      <c r="BG140" s="197"/>
      <c r="BH140" s="197"/>
      <c r="BI140" s="197"/>
      <c r="BJ140" s="197"/>
      <c r="BK140" s="197"/>
      <c r="BL140" s="197"/>
      <c r="BM140" s="197"/>
      <c r="BN140" s="197"/>
      <c r="BO140" s="197"/>
      <c r="BP140" s="197"/>
      <c r="BQ140" s="197"/>
      <c r="BR140" s="197"/>
      <c r="BS140" s="197"/>
      <c r="BT140" s="197"/>
    </row>
    <row r="141">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c r="AA141" s="197"/>
      <c r="AB141" s="197"/>
      <c r="AC141" s="197"/>
      <c r="AD141" s="197"/>
      <c r="AE141" s="197"/>
      <c r="AF141" s="197"/>
      <c r="AG141" s="197"/>
      <c r="AH141" s="197"/>
      <c r="AI141" s="197"/>
      <c r="AJ141" s="197"/>
      <c r="AK141" s="197"/>
      <c r="AL141" s="197"/>
      <c r="AM141" s="197"/>
      <c r="AN141" s="197"/>
      <c r="AO141" s="197"/>
      <c r="AP141" s="197"/>
      <c r="AQ141" s="197"/>
      <c r="AR141" s="197"/>
      <c r="AS141" s="197"/>
      <c r="AT141" s="197"/>
      <c r="AU141" s="197"/>
      <c r="AV141" s="197"/>
      <c r="AW141" s="197"/>
      <c r="AX141" s="197"/>
      <c r="AY141" s="197"/>
      <c r="AZ141" s="197"/>
      <c r="BA141" s="197"/>
      <c r="BB141" s="197"/>
      <c r="BC141" s="197"/>
      <c r="BD141" s="197"/>
      <c r="BE141" s="197"/>
      <c r="BF141" s="197"/>
      <c r="BG141" s="197"/>
      <c r="BH141" s="197"/>
      <c r="BI141" s="197"/>
      <c r="BJ141" s="197"/>
      <c r="BK141" s="197"/>
      <c r="BL141" s="197"/>
      <c r="BM141" s="197"/>
      <c r="BN141" s="197"/>
      <c r="BO141" s="197"/>
      <c r="BP141" s="197"/>
      <c r="BQ141" s="197"/>
      <c r="BR141" s="197"/>
      <c r="BS141" s="197"/>
      <c r="BT141" s="197"/>
    </row>
    <row r="142">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c r="AA142" s="197"/>
      <c r="AB142" s="197"/>
      <c r="AC142" s="197"/>
      <c r="AD142" s="197"/>
      <c r="AE142" s="197"/>
      <c r="AF142" s="197"/>
      <c r="AG142" s="197"/>
      <c r="AH142" s="197"/>
      <c r="AI142" s="197"/>
      <c r="AJ142" s="197"/>
      <c r="AK142" s="197"/>
      <c r="AL142" s="197"/>
      <c r="AM142" s="197"/>
      <c r="AN142" s="197"/>
      <c r="AO142" s="197"/>
      <c r="AP142" s="197"/>
      <c r="AQ142" s="197"/>
      <c r="AR142" s="197"/>
      <c r="AS142" s="197"/>
      <c r="AT142" s="197"/>
      <c r="AU142" s="197"/>
      <c r="AV142" s="197"/>
      <c r="AW142" s="197"/>
      <c r="AX142" s="197"/>
      <c r="AY142" s="197"/>
      <c r="AZ142" s="197"/>
      <c r="BA142" s="197"/>
      <c r="BB142" s="197"/>
      <c r="BC142" s="197"/>
      <c r="BD142" s="197"/>
      <c r="BE142" s="197"/>
      <c r="BF142" s="197"/>
      <c r="BG142" s="197"/>
      <c r="BH142" s="197"/>
      <c r="BI142" s="197"/>
      <c r="BJ142" s="197"/>
      <c r="BK142" s="197"/>
      <c r="BL142" s="197"/>
      <c r="BM142" s="197"/>
      <c r="BN142" s="197"/>
      <c r="BO142" s="197"/>
      <c r="BP142" s="197"/>
      <c r="BQ142" s="197"/>
      <c r="BR142" s="197"/>
      <c r="BS142" s="197"/>
      <c r="BT142" s="197"/>
    </row>
    <row r="143">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c r="AA143" s="197"/>
      <c r="AB143" s="197"/>
      <c r="AC143" s="197"/>
      <c r="AD143" s="197"/>
      <c r="AE143" s="197"/>
      <c r="AF143" s="197"/>
      <c r="AG143" s="197"/>
      <c r="AH143" s="197"/>
      <c r="AI143" s="197"/>
      <c r="AJ143" s="197"/>
      <c r="AK143" s="197"/>
      <c r="AL143" s="197"/>
      <c r="AM143" s="197"/>
      <c r="AN143" s="197"/>
      <c r="AO143" s="197"/>
      <c r="AP143" s="197"/>
      <c r="AQ143" s="197"/>
      <c r="AR143" s="197"/>
      <c r="AS143" s="197"/>
      <c r="AT143" s="197"/>
      <c r="AU143" s="197"/>
      <c r="AV143" s="197"/>
      <c r="AW143" s="197"/>
      <c r="AX143" s="197"/>
      <c r="AY143" s="197"/>
      <c r="AZ143" s="197"/>
      <c r="BA143" s="197"/>
      <c r="BB143" s="197"/>
      <c r="BC143" s="197"/>
      <c r="BD143" s="197"/>
      <c r="BE143" s="197"/>
      <c r="BF143" s="197"/>
      <c r="BG143" s="197"/>
      <c r="BH143" s="197"/>
      <c r="BI143" s="197"/>
      <c r="BJ143" s="197"/>
      <c r="BK143" s="197"/>
      <c r="BL143" s="197"/>
      <c r="BM143" s="197"/>
      <c r="BN143" s="197"/>
      <c r="BO143" s="197"/>
      <c r="BP143" s="197"/>
      <c r="BQ143" s="197"/>
      <c r="BR143" s="197"/>
      <c r="BS143" s="197"/>
      <c r="BT143" s="197"/>
    </row>
    <row r="144">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c r="AA144" s="197"/>
      <c r="AB144" s="197"/>
      <c r="AC144" s="197"/>
      <c r="AD144" s="197"/>
      <c r="AE144" s="197"/>
      <c r="AF144" s="197"/>
      <c r="AG144" s="197"/>
      <c r="AH144" s="197"/>
      <c r="AI144" s="197"/>
      <c r="AJ144" s="197"/>
      <c r="AK144" s="197"/>
      <c r="AL144" s="197"/>
      <c r="AM144" s="197"/>
      <c r="AN144" s="197"/>
      <c r="AO144" s="197"/>
      <c r="AP144" s="197"/>
      <c r="AQ144" s="197"/>
      <c r="AR144" s="197"/>
      <c r="AS144" s="197"/>
      <c r="AT144" s="197"/>
      <c r="AU144" s="197"/>
      <c r="AV144" s="197"/>
      <c r="AW144" s="197"/>
      <c r="AX144" s="197"/>
      <c r="AY144" s="197"/>
      <c r="AZ144" s="197"/>
      <c r="BA144" s="197"/>
      <c r="BB144" s="197"/>
      <c r="BC144" s="197"/>
      <c r="BD144" s="197"/>
      <c r="BE144" s="197"/>
      <c r="BF144" s="197"/>
      <c r="BG144" s="197"/>
      <c r="BH144" s="197"/>
      <c r="BI144" s="197"/>
      <c r="BJ144" s="197"/>
      <c r="BK144" s="197"/>
      <c r="BL144" s="197"/>
      <c r="BM144" s="197"/>
      <c r="BN144" s="197"/>
      <c r="BO144" s="197"/>
      <c r="BP144" s="197"/>
      <c r="BQ144" s="197"/>
      <c r="BR144" s="197"/>
      <c r="BS144" s="197"/>
      <c r="BT144" s="197"/>
    </row>
    <row r="145">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c r="AA145" s="197"/>
      <c r="AB145" s="197"/>
      <c r="AC145" s="197"/>
      <c r="AD145" s="197"/>
      <c r="AE145" s="197"/>
      <c r="AF145" s="197"/>
      <c r="AG145" s="197"/>
      <c r="AH145" s="197"/>
      <c r="AI145" s="197"/>
      <c r="AJ145" s="197"/>
      <c r="AK145" s="197"/>
      <c r="AL145" s="197"/>
      <c r="AM145" s="197"/>
      <c r="AN145" s="197"/>
      <c r="AO145" s="197"/>
      <c r="AP145" s="197"/>
      <c r="AQ145" s="197"/>
      <c r="AR145" s="197"/>
      <c r="AS145" s="197"/>
      <c r="AT145" s="197"/>
      <c r="AU145" s="197"/>
      <c r="AV145" s="197"/>
      <c r="AW145" s="197"/>
      <c r="AX145" s="197"/>
      <c r="AY145" s="197"/>
      <c r="AZ145" s="197"/>
      <c r="BA145" s="197"/>
      <c r="BB145" s="197"/>
      <c r="BC145" s="197"/>
      <c r="BD145" s="197"/>
      <c r="BE145" s="197"/>
      <c r="BF145" s="197"/>
      <c r="BG145" s="197"/>
      <c r="BH145" s="197"/>
      <c r="BI145" s="197"/>
      <c r="BJ145" s="197"/>
      <c r="BK145" s="197"/>
      <c r="BL145" s="197"/>
      <c r="BM145" s="197"/>
      <c r="BN145" s="197"/>
      <c r="BO145" s="197"/>
      <c r="BP145" s="197"/>
      <c r="BQ145" s="197"/>
      <c r="BR145" s="197"/>
      <c r="BS145" s="197"/>
      <c r="BT145" s="197"/>
    </row>
    <row r="146">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197"/>
      <c r="AU146" s="197"/>
      <c r="AV146" s="197"/>
      <c r="AW146" s="197"/>
      <c r="AX146" s="197"/>
      <c r="AY146" s="197"/>
      <c r="AZ146" s="197"/>
      <c r="BA146" s="197"/>
      <c r="BB146" s="197"/>
      <c r="BC146" s="197"/>
      <c r="BD146" s="197"/>
      <c r="BE146" s="197"/>
      <c r="BF146" s="197"/>
      <c r="BG146" s="197"/>
      <c r="BH146" s="197"/>
      <c r="BI146" s="197"/>
      <c r="BJ146" s="197"/>
      <c r="BK146" s="197"/>
      <c r="BL146" s="197"/>
      <c r="BM146" s="197"/>
      <c r="BN146" s="197"/>
      <c r="BO146" s="197"/>
      <c r="BP146" s="197"/>
      <c r="BQ146" s="197"/>
      <c r="BR146" s="197"/>
      <c r="BS146" s="197"/>
      <c r="BT146" s="197"/>
    </row>
    <row r="147">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c r="AA147" s="197"/>
      <c r="AB147" s="197"/>
      <c r="AC147" s="197"/>
      <c r="AD147" s="197"/>
      <c r="AE147" s="197"/>
      <c r="AF147" s="197"/>
      <c r="AG147" s="197"/>
      <c r="AH147" s="197"/>
      <c r="AI147" s="197"/>
      <c r="AJ147" s="197"/>
      <c r="AK147" s="197"/>
      <c r="AL147" s="197"/>
      <c r="AM147" s="197"/>
      <c r="AN147" s="197"/>
      <c r="AO147" s="197"/>
      <c r="AP147" s="197"/>
      <c r="AQ147" s="197"/>
      <c r="AR147" s="197"/>
      <c r="AS147" s="197"/>
      <c r="AT147" s="197"/>
      <c r="AU147" s="197"/>
      <c r="AV147" s="197"/>
      <c r="AW147" s="197"/>
      <c r="AX147" s="197"/>
      <c r="AY147" s="197"/>
      <c r="AZ147" s="197"/>
      <c r="BA147" s="197"/>
      <c r="BB147" s="197"/>
      <c r="BC147" s="197"/>
      <c r="BD147" s="197"/>
      <c r="BE147" s="197"/>
      <c r="BF147" s="197"/>
      <c r="BG147" s="197"/>
      <c r="BH147" s="197"/>
      <c r="BI147" s="197"/>
      <c r="BJ147" s="197"/>
      <c r="BK147" s="197"/>
      <c r="BL147" s="197"/>
      <c r="BM147" s="197"/>
      <c r="BN147" s="197"/>
      <c r="BO147" s="197"/>
      <c r="BP147" s="197"/>
      <c r="BQ147" s="197"/>
      <c r="BR147" s="197"/>
      <c r="BS147" s="197"/>
      <c r="BT147" s="197"/>
    </row>
    <row r="148">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c r="AA148" s="197"/>
      <c r="AB148" s="197"/>
      <c r="AC148" s="197"/>
      <c r="AD148" s="197"/>
      <c r="AE148" s="197"/>
      <c r="AF148" s="197"/>
      <c r="AG148" s="197"/>
      <c r="AH148" s="197"/>
      <c r="AI148" s="197"/>
      <c r="AJ148" s="197"/>
      <c r="AK148" s="197"/>
      <c r="AL148" s="197"/>
      <c r="AM148" s="197"/>
      <c r="AN148" s="197"/>
      <c r="AO148" s="197"/>
      <c r="AP148" s="197"/>
      <c r="AQ148" s="197"/>
      <c r="AR148" s="197"/>
      <c r="AS148" s="197"/>
      <c r="AT148" s="197"/>
      <c r="AU148" s="197"/>
      <c r="AV148" s="197"/>
      <c r="AW148" s="197"/>
      <c r="AX148" s="197"/>
      <c r="AY148" s="197"/>
      <c r="AZ148" s="197"/>
      <c r="BA148" s="197"/>
      <c r="BB148" s="197"/>
      <c r="BC148" s="197"/>
      <c r="BD148" s="197"/>
      <c r="BE148" s="197"/>
      <c r="BF148" s="197"/>
      <c r="BG148" s="197"/>
      <c r="BH148" s="197"/>
      <c r="BI148" s="197"/>
      <c r="BJ148" s="197"/>
      <c r="BK148" s="197"/>
      <c r="BL148" s="197"/>
      <c r="BM148" s="197"/>
      <c r="BN148" s="197"/>
      <c r="BO148" s="197"/>
      <c r="BP148" s="197"/>
      <c r="BQ148" s="197"/>
      <c r="BR148" s="197"/>
      <c r="BS148" s="197"/>
      <c r="BT148" s="197"/>
    </row>
    <row r="149">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c r="AA149" s="197"/>
      <c r="AB149" s="197"/>
      <c r="AC149" s="197"/>
      <c r="AD149" s="197"/>
      <c r="AE149" s="197"/>
      <c r="AF149" s="197"/>
      <c r="AG149" s="197"/>
      <c r="AH149" s="197"/>
      <c r="AI149" s="197"/>
      <c r="AJ149" s="197"/>
      <c r="AK149" s="197"/>
      <c r="AL149" s="197"/>
      <c r="AM149" s="197"/>
      <c r="AN149" s="197"/>
      <c r="AO149" s="197"/>
      <c r="AP149" s="197"/>
      <c r="AQ149" s="197"/>
      <c r="AR149" s="197"/>
      <c r="AS149" s="197"/>
      <c r="AT149" s="197"/>
      <c r="AU149" s="197"/>
      <c r="AV149" s="197"/>
      <c r="AW149" s="197"/>
      <c r="AX149" s="197"/>
      <c r="AY149" s="197"/>
      <c r="AZ149" s="197"/>
      <c r="BA149" s="197"/>
      <c r="BB149" s="197"/>
      <c r="BC149" s="197"/>
      <c r="BD149" s="197"/>
      <c r="BE149" s="197"/>
      <c r="BF149" s="197"/>
      <c r="BG149" s="197"/>
      <c r="BH149" s="197"/>
      <c r="BI149" s="197"/>
      <c r="BJ149" s="197"/>
      <c r="BK149" s="197"/>
      <c r="BL149" s="197"/>
      <c r="BM149" s="197"/>
      <c r="BN149" s="197"/>
      <c r="BO149" s="197"/>
      <c r="BP149" s="197"/>
      <c r="BQ149" s="197"/>
      <c r="BR149" s="197"/>
      <c r="BS149" s="197"/>
      <c r="BT149" s="197"/>
    </row>
    <row r="150">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c r="AA150" s="197"/>
      <c r="AB150" s="197"/>
      <c r="AC150" s="197"/>
      <c r="AD150" s="197"/>
      <c r="AE150" s="197"/>
      <c r="AF150" s="197"/>
      <c r="AG150" s="197"/>
      <c r="AH150" s="197"/>
      <c r="AI150" s="197"/>
      <c r="AJ150" s="197"/>
      <c r="AK150" s="197"/>
      <c r="AL150" s="197"/>
      <c r="AM150" s="197"/>
      <c r="AN150" s="197"/>
      <c r="AO150" s="197"/>
      <c r="AP150" s="197"/>
      <c r="AQ150" s="197"/>
      <c r="AR150" s="197"/>
      <c r="AS150" s="197"/>
      <c r="AT150" s="197"/>
      <c r="AU150" s="197"/>
      <c r="AV150" s="197"/>
      <c r="AW150" s="197"/>
      <c r="AX150" s="197"/>
      <c r="AY150" s="197"/>
      <c r="AZ150" s="197"/>
      <c r="BA150" s="197"/>
      <c r="BB150" s="197"/>
      <c r="BC150" s="197"/>
      <c r="BD150" s="197"/>
      <c r="BE150" s="197"/>
      <c r="BF150" s="197"/>
      <c r="BG150" s="197"/>
      <c r="BH150" s="197"/>
      <c r="BI150" s="197"/>
      <c r="BJ150" s="197"/>
      <c r="BK150" s="197"/>
      <c r="BL150" s="197"/>
      <c r="BM150" s="197"/>
      <c r="BN150" s="197"/>
      <c r="BO150" s="197"/>
      <c r="BP150" s="197"/>
      <c r="BQ150" s="197"/>
      <c r="BR150" s="197"/>
      <c r="BS150" s="197"/>
      <c r="BT150" s="197"/>
    </row>
    <row r="151">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c r="AA151" s="197"/>
      <c r="AB151" s="197"/>
      <c r="AC151" s="197"/>
      <c r="AD151" s="197"/>
      <c r="AE151" s="197"/>
      <c r="AF151" s="197"/>
      <c r="AG151" s="197"/>
      <c r="AH151" s="197"/>
      <c r="AI151" s="197"/>
      <c r="AJ151" s="197"/>
      <c r="AK151" s="197"/>
      <c r="AL151" s="197"/>
      <c r="AM151" s="197"/>
      <c r="AN151" s="197"/>
      <c r="AO151" s="197"/>
      <c r="AP151" s="197"/>
      <c r="AQ151" s="197"/>
      <c r="AR151" s="197"/>
      <c r="AS151" s="197"/>
      <c r="AT151" s="197"/>
      <c r="AU151" s="197"/>
      <c r="AV151" s="197"/>
      <c r="AW151" s="197"/>
      <c r="AX151" s="197"/>
      <c r="AY151" s="197"/>
      <c r="AZ151" s="197"/>
      <c r="BA151" s="197"/>
      <c r="BB151" s="197"/>
      <c r="BC151" s="197"/>
      <c r="BD151" s="197"/>
      <c r="BE151" s="197"/>
      <c r="BF151" s="197"/>
      <c r="BG151" s="197"/>
      <c r="BH151" s="197"/>
      <c r="BI151" s="197"/>
      <c r="BJ151" s="197"/>
      <c r="BK151" s="197"/>
      <c r="BL151" s="197"/>
      <c r="BM151" s="197"/>
      <c r="BN151" s="197"/>
      <c r="BO151" s="197"/>
      <c r="BP151" s="197"/>
      <c r="BQ151" s="197"/>
      <c r="BR151" s="197"/>
      <c r="BS151" s="197"/>
      <c r="BT151" s="197"/>
    </row>
    <row r="152">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c r="AA152" s="197"/>
      <c r="AB152" s="197"/>
      <c r="AC152" s="197"/>
      <c r="AD152" s="197"/>
      <c r="AE152" s="197"/>
      <c r="AF152" s="197"/>
      <c r="AG152" s="197"/>
      <c r="AH152" s="197"/>
      <c r="AI152" s="197"/>
      <c r="AJ152" s="197"/>
      <c r="AK152" s="197"/>
      <c r="AL152" s="197"/>
      <c r="AM152" s="197"/>
      <c r="AN152" s="197"/>
      <c r="AO152" s="197"/>
      <c r="AP152" s="197"/>
      <c r="AQ152" s="197"/>
      <c r="AR152" s="197"/>
      <c r="AS152" s="197"/>
      <c r="AT152" s="197"/>
      <c r="AU152" s="197"/>
      <c r="AV152" s="197"/>
      <c r="AW152" s="197"/>
      <c r="AX152" s="197"/>
      <c r="AY152" s="197"/>
      <c r="AZ152" s="197"/>
      <c r="BA152" s="197"/>
      <c r="BB152" s="197"/>
      <c r="BC152" s="197"/>
      <c r="BD152" s="197"/>
      <c r="BE152" s="197"/>
      <c r="BF152" s="197"/>
      <c r="BG152" s="197"/>
      <c r="BH152" s="197"/>
      <c r="BI152" s="197"/>
      <c r="BJ152" s="197"/>
      <c r="BK152" s="197"/>
      <c r="BL152" s="197"/>
      <c r="BM152" s="197"/>
      <c r="BN152" s="197"/>
      <c r="BO152" s="197"/>
      <c r="BP152" s="197"/>
      <c r="BQ152" s="197"/>
      <c r="BR152" s="197"/>
      <c r="BS152" s="197"/>
      <c r="BT152" s="197"/>
    </row>
    <row r="153">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c r="AA153" s="197"/>
      <c r="AB153" s="197"/>
      <c r="AC153" s="197"/>
      <c r="AD153" s="197"/>
      <c r="AE153" s="197"/>
      <c r="AF153" s="197"/>
      <c r="AG153" s="197"/>
      <c r="AH153" s="197"/>
      <c r="AI153" s="197"/>
      <c r="AJ153" s="197"/>
      <c r="AK153" s="197"/>
      <c r="AL153" s="197"/>
      <c r="AM153" s="197"/>
      <c r="AN153" s="197"/>
      <c r="AO153" s="197"/>
      <c r="AP153" s="197"/>
      <c r="AQ153" s="197"/>
      <c r="AR153" s="197"/>
      <c r="AS153" s="197"/>
      <c r="AT153" s="197"/>
      <c r="AU153" s="197"/>
      <c r="AV153" s="197"/>
      <c r="AW153" s="197"/>
      <c r="AX153" s="197"/>
      <c r="AY153" s="197"/>
      <c r="AZ153" s="197"/>
      <c r="BA153" s="197"/>
      <c r="BB153" s="197"/>
      <c r="BC153" s="197"/>
      <c r="BD153" s="197"/>
      <c r="BE153" s="197"/>
      <c r="BF153" s="197"/>
      <c r="BG153" s="197"/>
      <c r="BH153" s="197"/>
      <c r="BI153" s="197"/>
      <c r="BJ153" s="197"/>
      <c r="BK153" s="197"/>
      <c r="BL153" s="197"/>
      <c r="BM153" s="197"/>
      <c r="BN153" s="197"/>
      <c r="BO153" s="197"/>
      <c r="BP153" s="197"/>
      <c r="BQ153" s="197"/>
      <c r="BR153" s="197"/>
      <c r="BS153" s="197"/>
      <c r="BT153" s="197"/>
    </row>
    <row r="154">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c r="AA154" s="197"/>
      <c r="AB154" s="197"/>
      <c r="AC154" s="197"/>
      <c r="AD154" s="197"/>
      <c r="AE154" s="197"/>
      <c r="AF154" s="197"/>
      <c r="AG154" s="197"/>
      <c r="AH154" s="197"/>
      <c r="AI154" s="197"/>
      <c r="AJ154" s="197"/>
      <c r="AK154" s="197"/>
      <c r="AL154" s="197"/>
      <c r="AM154" s="197"/>
      <c r="AN154" s="197"/>
      <c r="AO154" s="197"/>
      <c r="AP154" s="197"/>
      <c r="AQ154" s="197"/>
      <c r="AR154" s="197"/>
      <c r="AS154" s="197"/>
      <c r="AT154" s="197"/>
      <c r="AU154" s="197"/>
      <c r="AV154" s="197"/>
      <c r="AW154" s="197"/>
      <c r="AX154" s="197"/>
      <c r="AY154" s="197"/>
      <c r="AZ154" s="197"/>
      <c r="BA154" s="197"/>
      <c r="BB154" s="197"/>
      <c r="BC154" s="197"/>
      <c r="BD154" s="197"/>
      <c r="BE154" s="197"/>
      <c r="BF154" s="197"/>
      <c r="BG154" s="197"/>
      <c r="BH154" s="197"/>
      <c r="BI154" s="197"/>
      <c r="BJ154" s="197"/>
      <c r="BK154" s="197"/>
      <c r="BL154" s="197"/>
      <c r="BM154" s="197"/>
      <c r="BN154" s="197"/>
      <c r="BO154" s="197"/>
      <c r="BP154" s="197"/>
      <c r="BQ154" s="197"/>
      <c r="BR154" s="197"/>
      <c r="BS154" s="197"/>
      <c r="BT154" s="197"/>
    </row>
    <row r="155">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c r="AA155" s="197"/>
      <c r="AB155" s="197"/>
      <c r="AC155" s="197"/>
      <c r="AD155" s="197"/>
      <c r="AE155" s="197"/>
      <c r="AF155" s="197"/>
      <c r="AG155" s="197"/>
      <c r="AH155" s="197"/>
      <c r="AI155" s="197"/>
      <c r="AJ155" s="197"/>
      <c r="AK155" s="197"/>
      <c r="AL155" s="197"/>
      <c r="AM155" s="197"/>
      <c r="AN155" s="197"/>
      <c r="AO155" s="197"/>
      <c r="AP155" s="197"/>
      <c r="AQ155" s="197"/>
      <c r="AR155" s="197"/>
      <c r="AS155" s="197"/>
      <c r="AT155" s="197"/>
      <c r="AU155" s="197"/>
      <c r="AV155" s="197"/>
      <c r="AW155" s="197"/>
      <c r="AX155" s="197"/>
      <c r="AY155" s="197"/>
      <c r="AZ155" s="197"/>
      <c r="BA155" s="197"/>
      <c r="BB155" s="197"/>
      <c r="BC155" s="197"/>
      <c r="BD155" s="197"/>
      <c r="BE155" s="197"/>
      <c r="BF155" s="197"/>
      <c r="BG155" s="197"/>
      <c r="BH155" s="197"/>
      <c r="BI155" s="197"/>
      <c r="BJ155" s="197"/>
      <c r="BK155" s="197"/>
      <c r="BL155" s="197"/>
      <c r="BM155" s="197"/>
      <c r="BN155" s="197"/>
      <c r="BO155" s="197"/>
      <c r="BP155" s="197"/>
      <c r="BQ155" s="197"/>
      <c r="BR155" s="197"/>
      <c r="BS155" s="197"/>
      <c r="BT155" s="197"/>
    </row>
    <row r="156">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7"/>
      <c r="BD156" s="197"/>
      <c r="BE156" s="197"/>
      <c r="BF156" s="197"/>
      <c r="BG156" s="197"/>
      <c r="BH156" s="197"/>
      <c r="BI156" s="197"/>
      <c r="BJ156" s="197"/>
      <c r="BK156" s="197"/>
      <c r="BL156" s="197"/>
      <c r="BM156" s="197"/>
      <c r="BN156" s="197"/>
      <c r="BO156" s="197"/>
      <c r="BP156" s="197"/>
      <c r="BQ156" s="197"/>
      <c r="BR156" s="197"/>
      <c r="BS156" s="197"/>
      <c r="BT156" s="197"/>
    </row>
    <row r="157">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c r="AA157" s="197"/>
      <c r="AB157" s="197"/>
      <c r="AC157" s="197"/>
      <c r="AD157" s="197"/>
      <c r="AE157" s="197"/>
      <c r="AF157" s="197"/>
      <c r="AG157" s="197"/>
      <c r="AH157" s="197"/>
      <c r="AI157" s="197"/>
      <c r="AJ157" s="197"/>
      <c r="AK157" s="197"/>
      <c r="AL157" s="197"/>
      <c r="AM157" s="197"/>
      <c r="AN157" s="197"/>
      <c r="AO157" s="197"/>
      <c r="AP157" s="197"/>
      <c r="AQ157" s="197"/>
      <c r="AR157" s="197"/>
      <c r="AS157" s="197"/>
      <c r="AT157" s="197"/>
      <c r="AU157" s="197"/>
      <c r="AV157" s="197"/>
      <c r="AW157" s="197"/>
      <c r="AX157" s="197"/>
      <c r="AY157" s="197"/>
      <c r="AZ157" s="197"/>
      <c r="BA157" s="197"/>
      <c r="BB157" s="197"/>
      <c r="BC157" s="197"/>
      <c r="BD157" s="197"/>
      <c r="BE157" s="197"/>
      <c r="BF157" s="197"/>
      <c r="BG157" s="197"/>
      <c r="BH157" s="197"/>
      <c r="BI157" s="197"/>
      <c r="BJ157" s="197"/>
      <c r="BK157" s="197"/>
      <c r="BL157" s="197"/>
      <c r="BM157" s="197"/>
      <c r="BN157" s="197"/>
      <c r="BO157" s="197"/>
      <c r="BP157" s="197"/>
      <c r="BQ157" s="197"/>
      <c r="BR157" s="197"/>
      <c r="BS157" s="197"/>
      <c r="BT157" s="197"/>
    </row>
    <row r="158">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c r="AA158" s="197"/>
      <c r="AB158" s="197"/>
      <c r="AC158" s="197"/>
      <c r="AD158" s="197"/>
      <c r="AE158" s="197"/>
      <c r="AF158" s="197"/>
      <c r="AG158" s="197"/>
      <c r="AH158" s="197"/>
      <c r="AI158" s="197"/>
      <c r="AJ158" s="197"/>
      <c r="AK158" s="197"/>
      <c r="AL158" s="197"/>
      <c r="AM158" s="197"/>
      <c r="AN158" s="197"/>
      <c r="AO158" s="197"/>
      <c r="AP158" s="197"/>
      <c r="AQ158" s="197"/>
      <c r="AR158" s="197"/>
      <c r="AS158" s="197"/>
      <c r="AT158" s="197"/>
      <c r="AU158" s="197"/>
      <c r="AV158" s="197"/>
      <c r="AW158" s="197"/>
      <c r="AX158" s="197"/>
      <c r="AY158" s="197"/>
      <c r="AZ158" s="197"/>
      <c r="BA158" s="197"/>
      <c r="BB158" s="197"/>
      <c r="BC158" s="197"/>
      <c r="BD158" s="197"/>
      <c r="BE158" s="197"/>
      <c r="BF158" s="197"/>
      <c r="BG158" s="197"/>
      <c r="BH158" s="197"/>
      <c r="BI158" s="197"/>
      <c r="BJ158" s="197"/>
      <c r="BK158" s="197"/>
      <c r="BL158" s="197"/>
      <c r="BM158" s="197"/>
      <c r="BN158" s="197"/>
      <c r="BO158" s="197"/>
      <c r="BP158" s="197"/>
      <c r="BQ158" s="197"/>
      <c r="BR158" s="197"/>
      <c r="BS158" s="197"/>
      <c r="BT158" s="197"/>
    </row>
    <row r="159">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c r="AA159" s="197"/>
      <c r="AB159" s="197"/>
      <c r="AC159" s="197"/>
      <c r="AD159" s="197"/>
      <c r="AE159" s="197"/>
      <c r="AF159" s="197"/>
      <c r="AG159" s="197"/>
      <c r="AH159" s="197"/>
      <c r="AI159" s="197"/>
      <c r="AJ159" s="197"/>
      <c r="AK159" s="197"/>
      <c r="AL159" s="197"/>
      <c r="AM159" s="197"/>
      <c r="AN159" s="197"/>
      <c r="AO159" s="197"/>
      <c r="AP159" s="197"/>
      <c r="AQ159" s="197"/>
      <c r="AR159" s="197"/>
      <c r="AS159" s="197"/>
      <c r="AT159" s="197"/>
      <c r="AU159" s="197"/>
      <c r="AV159" s="197"/>
      <c r="AW159" s="197"/>
      <c r="AX159" s="197"/>
      <c r="AY159" s="197"/>
      <c r="AZ159" s="197"/>
      <c r="BA159" s="197"/>
      <c r="BB159" s="197"/>
      <c r="BC159" s="197"/>
      <c r="BD159" s="197"/>
      <c r="BE159" s="197"/>
      <c r="BF159" s="197"/>
      <c r="BG159" s="197"/>
      <c r="BH159" s="197"/>
      <c r="BI159" s="197"/>
      <c r="BJ159" s="197"/>
      <c r="BK159" s="197"/>
      <c r="BL159" s="197"/>
      <c r="BM159" s="197"/>
      <c r="BN159" s="197"/>
      <c r="BO159" s="197"/>
      <c r="BP159" s="197"/>
      <c r="BQ159" s="197"/>
      <c r="BR159" s="197"/>
      <c r="BS159" s="197"/>
      <c r="BT159" s="197"/>
    </row>
    <row r="160">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197"/>
      <c r="AU160" s="197"/>
      <c r="AV160" s="197"/>
      <c r="AW160" s="197"/>
      <c r="AX160" s="197"/>
      <c r="AY160" s="197"/>
      <c r="AZ160" s="197"/>
      <c r="BA160" s="197"/>
      <c r="BB160" s="197"/>
      <c r="BC160" s="197"/>
      <c r="BD160" s="197"/>
      <c r="BE160" s="197"/>
      <c r="BF160" s="197"/>
      <c r="BG160" s="197"/>
      <c r="BH160" s="197"/>
      <c r="BI160" s="197"/>
      <c r="BJ160" s="197"/>
      <c r="BK160" s="197"/>
      <c r="BL160" s="197"/>
      <c r="BM160" s="197"/>
      <c r="BN160" s="197"/>
      <c r="BO160" s="197"/>
      <c r="BP160" s="197"/>
      <c r="BQ160" s="197"/>
      <c r="BR160" s="197"/>
      <c r="BS160" s="197"/>
      <c r="BT160" s="197"/>
    </row>
    <row r="161">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c r="AA161" s="197"/>
      <c r="AB161" s="197"/>
      <c r="AC161" s="197"/>
      <c r="AD161" s="197"/>
      <c r="AE161" s="197"/>
      <c r="AF161" s="197"/>
      <c r="AG161" s="197"/>
      <c r="AH161" s="197"/>
      <c r="AI161" s="197"/>
      <c r="AJ161" s="197"/>
      <c r="AK161" s="197"/>
      <c r="AL161" s="197"/>
      <c r="AM161" s="197"/>
      <c r="AN161" s="197"/>
      <c r="AO161" s="197"/>
      <c r="AP161" s="197"/>
      <c r="AQ161" s="197"/>
      <c r="AR161" s="197"/>
      <c r="AS161" s="197"/>
      <c r="AT161" s="197"/>
      <c r="AU161" s="197"/>
      <c r="AV161" s="197"/>
      <c r="AW161" s="197"/>
      <c r="AX161" s="197"/>
      <c r="AY161" s="197"/>
      <c r="AZ161" s="197"/>
      <c r="BA161" s="197"/>
      <c r="BB161" s="197"/>
      <c r="BC161" s="197"/>
      <c r="BD161" s="197"/>
      <c r="BE161" s="197"/>
      <c r="BF161" s="197"/>
      <c r="BG161" s="197"/>
      <c r="BH161" s="197"/>
      <c r="BI161" s="197"/>
      <c r="BJ161" s="197"/>
      <c r="BK161" s="197"/>
      <c r="BL161" s="197"/>
      <c r="BM161" s="197"/>
      <c r="BN161" s="197"/>
      <c r="BO161" s="197"/>
      <c r="BP161" s="197"/>
      <c r="BQ161" s="197"/>
      <c r="BR161" s="197"/>
      <c r="BS161" s="197"/>
      <c r="BT161" s="197"/>
    </row>
    <row r="162">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197"/>
      <c r="AU162" s="197"/>
      <c r="AV162" s="197"/>
      <c r="AW162" s="197"/>
      <c r="AX162" s="197"/>
      <c r="AY162" s="197"/>
      <c r="AZ162" s="197"/>
      <c r="BA162" s="197"/>
      <c r="BB162" s="197"/>
      <c r="BC162" s="197"/>
      <c r="BD162" s="197"/>
      <c r="BE162" s="197"/>
      <c r="BF162" s="197"/>
      <c r="BG162" s="197"/>
      <c r="BH162" s="197"/>
      <c r="BI162" s="197"/>
      <c r="BJ162" s="197"/>
      <c r="BK162" s="197"/>
      <c r="BL162" s="197"/>
      <c r="BM162" s="197"/>
      <c r="BN162" s="197"/>
      <c r="BO162" s="197"/>
      <c r="BP162" s="197"/>
      <c r="BQ162" s="197"/>
      <c r="BR162" s="197"/>
      <c r="BS162" s="197"/>
      <c r="BT162" s="197"/>
    </row>
    <row r="163">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c r="AA163" s="197"/>
      <c r="AB163" s="197"/>
      <c r="AC163" s="197"/>
      <c r="AD163" s="197"/>
      <c r="AE163" s="197"/>
      <c r="AF163" s="197"/>
      <c r="AG163" s="197"/>
      <c r="AH163" s="197"/>
      <c r="AI163" s="197"/>
      <c r="AJ163" s="197"/>
      <c r="AK163" s="197"/>
      <c r="AL163" s="197"/>
      <c r="AM163" s="197"/>
      <c r="AN163" s="197"/>
      <c r="AO163" s="197"/>
      <c r="AP163" s="197"/>
      <c r="AQ163" s="197"/>
      <c r="AR163" s="197"/>
      <c r="AS163" s="197"/>
      <c r="AT163" s="197"/>
      <c r="AU163" s="197"/>
      <c r="AV163" s="197"/>
      <c r="AW163" s="197"/>
      <c r="AX163" s="197"/>
      <c r="AY163" s="197"/>
      <c r="AZ163" s="197"/>
      <c r="BA163" s="197"/>
      <c r="BB163" s="197"/>
      <c r="BC163" s="197"/>
      <c r="BD163" s="197"/>
      <c r="BE163" s="197"/>
      <c r="BF163" s="197"/>
      <c r="BG163" s="197"/>
      <c r="BH163" s="197"/>
      <c r="BI163" s="197"/>
      <c r="BJ163" s="197"/>
      <c r="BK163" s="197"/>
      <c r="BL163" s="197"/>
      <c r="BM163" s="197"/>
      <c r="BN163" s="197"/>
      <c r="BO163" s="197"/>
      <c r="BP163" s="197"/>
      <c r="BQ163" s="197"/>
      <c r="BR163" s="197"/>
      <c r="BS163" s="197"/>
      <c r="BT163" s="197"/>
    </row>
    <row r="164">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c r="AA164" s="197"/>
      <c r="AB164" s="197"/>
      <c r="AC164" s="197"/>
      <c r="AD164" s="197"/>
      <c r="AE164" s="197"/>
      <c r="AF164" s="197"/>
      <c r="AG164" s="197"/>
      <c r="AH164" s="197"/>
      <c r="AI164" s="197"/>
      <c r="AJ164" s="197"/>
      <c r="AK164" s="197"/>
      <c r="AL164" s="197"/>
      <c r="AM164" s="197"/>
      <c r="AN164" s="197"/>
      <c r="AO164" s="197"/>
      <c r="AP164" s="197"/>
      <c r="AQ164" s="197"/>
      <c r="AR164" s="197"/>
      <c r="AS164" s="197"/>
      <c r="AT164" s="197"/>
      <c r="AU164" s="197"/>
      <c r="AV164" s="197"/>
      <c r="AW164" s="197"/>
      <c r="AX164" s="197"/>
      <c r="AY164" s="197"/>
      <c r="AZ164" s="197"/>
      <c r="BA164" s="197"/>
      <c r="BB164" s="197"/>
      <c r="BC164" s="197"/>
      <c r="BD164" s="197"/>
      <c r="BE164" s="197"/>
      <c r="BF164" s="197"/>
      <c r="BG164" s="197"/>
      <c r="BH164" s="197"/>
      <c r="BI164" s="197"/>
      <c r="BJ164" s="197"/>
      <c r="BK164" s="197"/>
      <c r="BL164" s="197"/>
      <c r="BM164" s="197"/>
      <c r="BN164" s="197"/>
      <c r="BO164" s="197"/>
      <c r="BP164" s="197"/>
      <c r="BQ164" s="197"/>
      <c r="BR164" s="197"/>
      <c r="BS164" s="197"/>
      <c r="BT164" s="197"/>
    </row>
    <row r="165">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c r="AA165" s="197"/>
      <c r="AB165" s="197"/>
      <c r="AC165" s="197"/>
      <c r="AD165" s="197"/>
      <c r="AE165" s="197"/>
      <c r="AF165" s="197"/>
      <c r="AG165" s="197"/>
      <c r="AH165" s="197"/>
      <c r="AI165" s="197"/>
      <c r="AJ165" s="197"/>
      <c r="AK165" s="197"/>
      <c r="AL165" s="197"/>
      <c r="AM165" s="197"/>
      <c r="AN165" s="197"/>
      <c r="AO165" s="197"/>
      <c r="AP165" s="197"/>
      <c r="AQ165" s="197"/>
      <c r="AR165" s="197"/>
      <c r="AS165" s="197"/>
      <c r="AT165" s="197"/>
      <c r="AU165" s="197"/>
      <c r="AV165" s="197"/>
      <c r="AW165" s="197"/>
      <c r="AX165" s="197"/>
      <c r="AY165" s="197"/>
      <c r="AZ165" s="197"/>
      <c r="BA165" s="197"/>
      <c r="BB165" s="197"/>
      <c r="BC165" s="197"/>
      <c r="BD165" s="197"/>
      <c r="BE165" s="197"/>
      <c r="BF165" s="197"/>
      <c r="BG165" s="197"/>
      <c r="BH165" s="197"/>
      <c r="BI165" s="197"/>
      <c r="BJ165" s="197"/>
      <c r="BK165" s="197"/>
      <c r="BL165" s="197"/>
      <c r="BM165" s="197"/>
      <c r="BN165" s="197"/>
      <c r="BO165" s="197"/>
      <c r="BP165" s="197"/>
      <c r="BQ165" s="197"/>
      <c r="BR165" s="197"/>
      <c r="BS165" s="197"/>
      <c r="BT165" s="197"/>
    </row>
    <row r="166">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c r="AA166" s="197"/>
      <c r="AB166" s="197"/>
      <c r="AC166" s="197"/>
      <c r="AD166" s="197"/>
      <c r="AE166" s="197"/>
      <c r="AF166" s="197"/>
      <c r="AG166" s="197"/>
      <c r="AH166" s="197"/>
      <c r="AI166" s="197"/>
      <c r="AJ166" s="197"/>
      <c r="AK166" s="197"/>
      <c r="AL166" s="197"/>
      <c r="AM166" s="197"/>
      <c r="AN166" s="197"/>
      <c r="AO166" s="197"/>
      <c r="AP166" s="197"/>
      <c r="AQ166" s="197"/>
      <c r="AR166" s="197"/>
      <c r="AS166" s="197"/>
      <c r="AT166" s="197"/>
      <c r="AU166" s="197"/>
      <c r="AV166" s="197"/>
      <c r="AW166" s="197"/>
      <c r="AX166" s="197"/>
      <c r="AY166" s="197"/>
      <c r="AZ166" s="197"/>
      <c r="BA166" s="197"/>
      <c r="BB166" s="197"/>
      <c r="BC166" s="197"/>
      <c r="BD166" s="197"/>
      <c r="BE166" s="197"/>
      <c r="BF166" s="197"/>
      <c r="BG166" s="197"/>
      <c r="BH166" s="197"/>
      <c r="BI166" s="197"/>
      <c r="BJ166" s="197"/>
      <c r="BK166" s="197"/>
      <c r="BL166" s="197"/>
      <c r="BM166" s="197"/>
      <c r="BN166" s="197"/>
      <c r="BO166" s="197"/>
      <c r="BP166" s="197"/>
      <c r="BQ166" s="197"/>
      <c r="BR166" s="197"/>
      <c r="BS166" s="197"/>
      <c r="BT166" s="197"/>
    </row>
    <row r="167">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c r="AA167" s="197"/>
      <c r="AB167" s="197"/>
      <c r="AC167" s="197"/>
      <c r="AD167" s="197"/>
      <c r="AE167" s="197"/>
      <c r="AF167" s="197"/>
      <c r="AG167" s="197"/>
      <c r="AH167" s="197"/>
      <c r="AI167" s="197"/>
      <c r="AJ167" s="197"/>
      <c r="AK167" s="197"/>
      <c r="AL167" s="197"/>
      <c r="AM167" s="197"/>
      <c r="AN167" s="197"/>
      <c r="AO167" s="197"/>
      <c r="AP167" s="197"/>
      <c r="AQ167" s="197"/>
      <c r="AR167" s="197"/>
      <c r="AS167" s="197"/>
      <c r="AT167" s="197"/>
      <c r="AU167" s="197"/>
      <c r="AV167" s="197"/>
      <c r="AW167" s="197"/>
      <c r="AX167" s="197"/>
      <c r="AY167" s="197"/>
      <c r="AZ167" s="197"/>
      <c r="BA167" s="197"/>
      <c r="BB167" s="197"/>
      <c r="BC167" s="197"/>
      <c r="BD167" s="197"/>
      <c r="BE167" s="197"/>
      <c r="BF167" s="197"/>
      <c r="BG167" s="197"/>
      <c r="BH167" s="197"/>
      <c r="BI167" s="197"/>
      <c r="BJ167" s="197"/>
      <c r="BK167" s="197"/>
      <c r="BL167" s="197"/>
      <c r="BM167" s="197"/>
      <c r="BN167" s="197"/>
      <c r="BO167" s="197"/>
      <c r="BP167" s="197"/>
      <c r="BQ167" s="197"/>
      <c r="BR167" s="197"/>
      <c r="BS167" s="197"/>
      <c r="BT167" s="197"/>
    </row>
    <row r="168">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7"/>
      <c r="AV168" s="197"/>
      <c r="AW168" s="197"/>
      <c r="AX168" s="197"/>
      <c r="AY168" s="197"/>
      <c r="AZ168" s="197"/>
      <c r="BA168" s="197"/>
      <c r="BB168" s="197"/>
      <c r="BC168" s="197"/>
      <c r="BD168" s="197"/>
      <c r="BE168" s="197"/>
      <c r="BF168" s="197"/>
      <c r="BG168" s="197"/>
      <c r="BH168" s="197"/>
      <c r="BI168" s="197"/>
      <c r="BJ168" s="197"/>
      <c r="BK168" s="197"/>
      <c r="BL168" s="197"/>
      <c r="BM168" s="197"/>
      <c r="BN168" s="197"/>
      <c r="BO168" s="197"/>
      <c r="BP168" s="197"/>
      <c r="BQ168" s="197"/>
      <c r="BR168" s="197"/>
      <c r="BS168" s="197"/>
      <c r="BT168" s="197"/>
    </row>
    <row r="169">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197"/>
      <c r="AI169" s="197"/>
      <c r="AJ169" s="197"/>
      <c r="AK169" s="197"/>
      <c r="AL169" s="197"/>
      <c r="AM169" s="197"/>
      <c r="AN169" s="197"/>
      <c r="AO169" s="197"/>
      <c r="AP169" s="197"/>
      <c r="AQ169" s="197"/>
      <c r="AR169" s="197"/>
      <c r="AS169" s="197"/>
      <c r="AT169" s="197"/>
      <c r="AU169" s="197"/>
      <c r="AV169" s="197"/>
      <c r="AW169" s="197"/>
      <c r="AX169" s="197"/>
      <c r="AY169" s="197"/>
      <c r="AZ169" s="197"/>
      <c r="BA169" s="197"/>
      <c r="BB169" s="197"/>
      <c r="BC169" s="197"/>
      <c r="BD169" s="197"/>
      <c r="BE169" s="197"/>
      <c r="BF169" s="197"/>
      <c r="BG169" s="197"/>
      <c r="BH169" s="197"/>
      <c r="BI169" s="197"/>
      <c r="BJ169" s="197"/>
      <c r="BK169" s="197"/>
      <c r="BL169" s="197"/>
      <c r="BM169" s="197"/>
      <c r="BN169" s="197"/>
      <c r="BO169" s="197"/>
      <c r="BP169" s="197"/>
      <c r="BQ169" s="197"/>
      <c r="BR169" s="197"/>
      <c r="BS169" s="197"/>
      <c r="BT169" s="197"/>
    </row>
    <row r="170">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c r="AA170" s="197"/>
      <c r="AB170" s="197"/>
      <c r="AC170" s="197"/>
      <c r="AD170" s="197"/>
      <c r="AE170" s="197"/>
      <c r="AF170" s="197"/>
      <c r="AG170" s="197"/>
      <c r="AH170" s="197"/>
      <c r="AI170" s="197"/>
      <c r="AJ170" s="197"/>
      <c r="AK170" s="197"/>
      <c r="AL170" s="197"/>
      <c r="AM170" s="197"/>
      <c r="AN170" s="197"/>
      <c r="AO170" s="197"/>
      <c r="AP170" s="197"/>
      <c r="AQ170" s="197"/>
      <c r="AR170" s="197"/>
      <c r="AS170" s="197"/>
      <c r="AT170" s="197"/>
      <c r="AU170" s="197"/>
      <c r="AV170" s="197"/>
      <c r="AW170" s="197"/>
      <c r="AX170" s="197"/>
      <c r="AY170" s="197"/>
      <c r="AZ170" s="197"/>
      <c r="BA170" s="197"/>
      <c r="BB170" s="197"/>
      <c r="BC170" s="197"/>
      <c r="BD170" s="197"/>
      <c r="BE170" s="197"/>
      <c r="BF170" s="197"/>
      <c r="BG170" s="197"/>
      <c r="BH170" s="197"/>
      <c r="BI170" s="197"/>
      <c r="BJ170" s="197"/>
      <c r="BK170" s="197"/>
      <c r="BL170" s="197"/>
      <c r="BM170" s="197"/>
      <c r="BN170" s="197"/>
      <c r="BO170" s="197"/>
      <c r="BP170" s="197"/>
      <c r="BQ170" s="197"/>
      <c r="BR170" s="197"/>
      <c r="BS170" s="197"/>
      <c r="BT170" s="197"/>
    </row>
    <row r="171">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197"/>
      <c r="AI171" s="197"/>
      <c r="AJ171" s="197"/>
      <c r="AK171" s="197"/>
      <c r="AL171" s="197"/>
      <c r="AM171" s="197"/>
      <c r="AN171" s="197"/>
      <c r="AO171" s="197"/>
      <c r="AP171" s="197"/>
      <c r="AQ171" s="197"/>
      <c r="AR171" s="197"/>
      <c r="AS171" s="197"/>
      <c r="AT171" s="197"/>
      <c r="AU171" s="197"/>
      <c r="AV171" s="197"/>
      <c r="AW171" s="197"/>
      <c r="AX171" s="197"/>
      <c r="AY171" s="197"/>
      <c r="AZ171" s="197"/>
      <c r="BA171" s="197"/>
      <c r="BB171" s="197"/>
      <c r="BC171" s="197"/>
      <c r="BD171" s="197"/>
      <c r="BE171" s="197"/>
      <c r="BF171" s="197"/>
      <c r="BG171" s="197"/>
      <c r="BH171" s="197"/>
      <c r="BI171" s="197"/>
      <c r="BJ171" s="197"/>
      <c r="BK171" s="197"/>
      <c r="BL171" s="197"/>
      <c r="BM171" s="197"/>
      <c r="BN171" s="197"/>
      <c r="BO171" s="197"/>
      <c r="BP171" s="197"/>
      <c r="BQ171" s="197"/>
      <c r="BR171" s="197"/>
      <c r="BS171" s="197"/>
      <c r="BT171" s="197"/>
    </row>
    <row r="172">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7"/>
      <c r="BD172" s="197"/>
      <c r="BE172" s="197"/>
      <c r="BF172" s="197"/>
      <c r="BG172" s="197"/>
      <c r="BH172" s="197"/>
      <c r="BI172" s="197"/>
      <c r="BJ172" s="197"/>
      <c r="BK172" s="197"/>
      <c r="BL172" s="197"/>
      <c r="BM172" s="197"/>
      <c r="BN172" s="197"/>
      <c r="BO172" s="197"/>
      <c r="BP172" s="197"/>
      <c r="BQ172" s="197"/>
      <c r="BR172" s="197"/>
      <c r="BS172" s="197"/>
      <c r="BT172" s="197"/>
    </row>
    <row r="173">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7"/>
      <c r="BF173" s="197"/>
      <c r="BG173" s="197"/>
      <c r="BH173" s="197"/>
      <c r="BI173" s="197"/>
      <c r="BJ173" s="197"/>
      <c r="BK173" s="197"/>
      <c r="BL173" s="197"/>
      <c r="BM173" s="197"/>
      <c r="BN173" s="197"/>
      <c r="BO173" s="197"/>
      <c r="BP173" s="197"/>
      <c r="BQ173" s="197"/>
      <c r="BR173" s="197"/>
      <c r="BS173" s="197"/>
      <c r="BT173" s="197"/>
    </row>
    <row r="174">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c r="AA174" s="197"/>
      <c r="AB174" s="197"/>
      <c r="AC174" s="197"/>
      <c r="AD174" s="197"/>
      <c r="AE174" s="197"/>
      <c r="AF174" s="197"/>
      <c r="AG174" s="197"/>
      <c r="AH174" s="197"/>
      <c r="AI174" s="197"/>
      <c r="AJ174" s="197"/>
      <c r="AK174" s="197"/>
      <c r="AL174" s="197"/>
      <c r="AM174" s="197"/>
      <c r="AN174" s="197"/>
      <c r="AO174" s="197"/>
      <c r="AP174" s="197"/>
      <c r="AQ174" s="197"/>
      <c r="AR174" s="197"/>
      <c r="AS174" s="197"/>
      <c r="AT174" s="197"/>
      <c r="AU174" s="197"/>
      <c r="AV174" s="197"/>
      <c r="AW174" s="197"/>
      <c r="AX174" s="197"/>
      <c r="AY174" s="197"/>
      <c r="AZ174" s="197"/>
      <c r="BA174" s="197"/>
      <c r="BB174" s="197"/>
      <c r="BC174" s="197"/>
      <c r="BD174" s="197"/>
      <c r="BE174" s="197"/>
      <c r="BF174" s="197"/>
      <c r="BG174" s="197"/>
      <c r="BH174" s="197"/>
      <c r="BI174" s="197"/>
      <c r="BJ174" s="197"/>
      <c r="BK174" s="197"/>
      <c r="BL174" s="197"/>
      <c r="BM174" s="197"/>
      <c r="BN174" s="197"/>
      <c r="BO174" s="197"/>
      <c r="BP174" s="197"/>
      <c r="BQ174" s="197"/>
      <c r="BR174" s="197"/>
      <c r="BS174" s="197"/>
      <c r="BT174" s="197"/>
    </row>
    <row r="175">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c r="AA175" s="197"/>
      <c r="AB175" s="197"/>
      <c r="AC175" s="197"/>
      <c r="AD175" s="197"/>
      <c r="AE175" s="197"/>
      <c r="AF175" s="197"/>
      <c r="AG175" s="197"/>
      <c r="AH175" s="197"/>
      <c r="AI175" s="197"/>
      <c r="AJ175" s="197"/>
      <c r="AK175" s="197"/>
      <c r="AL175" s="197"/>
      <c r="AM175" s="197"/>
      <c r="AN175" s="197"/>
      <c r="AO175" s="197"/>
      <c r="AP175" s="197"/>
      <c r="AQ175" s="197"/>
      <c r="AR175" s="197"/>
      <c r="AS175" s="197"/>
      <c r="AT175" s="197"/>
      <c r="AU175" s="197"/>
      <c r="AV175" s="197"/>
      <c r="AW175" s="197"/>
      <c r="AX175" s="197"/>
      <c r="AY175" s="197"/>
      <c r="AZ175" s="197"/>
      <c r="BA175" s="197"/>
      <c r="BB175" s="197"/>
      <c r="BC175" s="197"/>
      <c r="BD175" s="197"/>
      <c r="BE175" s="197"/>
      <c r="BF175" s="197"/>
      <c r="BG175" s="197"/>
      <c r="BH175" s="197"/>
      <c r="BI175" s="197"/>
      <c r="BJ175" s="197"/>
      <c r="BK175" s="197"/>
      <c r="BL175" s="197"/>
      <c r="BM175" s="197"/>
      <c r="BN175" s="197"/>
      <c r="BO175" s="197"/>
      <c r="BP175" s="197"/>
      <c r="BQ175" s="197"/>
      <c r="BR175" s="197"/>
      <c r="BS175" s="197"/>
      <c r="BT175" s="197"/>
    </row>
    <row r="176">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197"/>
      <c r="AU176" s="197"/>
      <c r="AV176" s="197"/>
      <c r="AW176" s="197"/>
      <c r="AX176" s="197"/>
      <c r="AY176" s="197"/>
      <c r="AZ176" s="197"/>
      <c r="BA176" s="197"/>
      <c r="BB176" s="197"/>
      <c r="BC176" s="197"/>
      <c r="BD176" s="197"/>
      <c r="BE176" s="197"/>
      <c r="BF176" s="197"/>
      <c r="BG176" s="197"/>
      <c r="BH176" s="197"/>
      <c r="BI176" s="197"/>
      <c r="BJ176" s="197"/>
      <c r="BK176" s="197"/>
      <c r="BL176" s="197"/>
      <c r="BM176" s="197"/>
      <c r="BN176" s="197"/>
      <c r="BO176" s="197"/>
      <c r="BP176" s="197"/>
      <c r="BQ176" s="197"/>
      <c r="BR176" s="197"/>
      <c r="BS176" s="197"/>
      <c r="BT176" s="197"/>
    </row>
    <row r="177">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7"/>
      <c r="BD177" s="197"/>
      <c r="BE177" s="197"/>
      <c r="BF177" s="197"/>
      <c r="BG177" s="197"/>
      <c r="BH177" s="197"/>
      <c r="BI177" s="197"/>
      <c r="BJ177" s="197"/>
      <c r="BK177" s="197"/>
      <c r="BL177" s="197"/>
      <c r="BM177" s="197"/>
      <c r="BN177" s="197"/>
      <c r="BO177" s="197"/>
      <c r="BP177" s="197"/>
      <c r="BQ177" s="197"/>
      <c r="BR177" s="197"/>
      <c r="BS177" s="197"/>
      <c r="BT177" s="197"/>
    </row>
    <row r="178">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c r="AZ178" s="197"/>
      <c r="BA178" s="197"/>
      <c r="BB178" s="197"/>
      <c r="BC178" s="197"/>
      <c r="BD178" s="197"/>
      <c r="BE178" s="197"/>
      <c r="BF178" s="197"/>
      <c r="BG178" s="197"/>
      <c r="BH178" s="197"/>
      <c r="BI178" s="197"/>
      <c r="BJ178" s="197"/>
      <c r="BK178" s="197"/>
      <c r="BL178" s="197"/>
      <c r="BM178" s="197"/>
      <c r="BN178" s="197"/>
      <c r="BO178" s="197"/>
      <c r="BP178" s="197"/>
      <c r="BQ178" s="197"/>
      <c r="BR178" s="197"/>
      <c r="BS178" s="197"/>
      <c r="BT178" s="197"/>
    </row>
    <row r="179">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c r="AA179" s="197"/>
      <c r="AB179" s="197"/>
      <c r="AC179" s="197"/>
      <c r="AD179" s="197"/>
      <c r="AE179" s="197"/>
      <c r="AF179" s="197"/>
      <c r="AG179" s="197"/>
      <c r="AH179" s="197"/>
      <c r="AI179" s="197"/>
      <c r="AJ179" s="197"/>
      <c r="AK179" s="197"/>
      <c r="AL179" s="197"/>
      <c r="AM179" s="197"/>
      <c r="AN179" s="197"/>
      <c r="AO179" s="197"/>
      <c r="AP179" s="197"/>
      <c r="AQ179" s="197"/>
      <c r="AR179" s="197"/>
      <c r="AS179" s="197"/>
      <c r="AT179" s="197"/>
      <c r="AU179" s="197"/>
      <c r="AV179" s="197"/>
      <c r="AW179" s="197"/>
      <c r="AX179" s="197"/>
      <c r="AY179" s="197"/>
      <c r="AZ179" s="197"/>
      <c r="BA179" s="197"/>
      <c r="BB179" s="197"/>
      <c r="BC179" s="197"/>
      <c r="BD179" s="197"/>
      <c r="BE179" s="197"/>
      <c r="BF179" s="197"/>
      <c r="BG179" s="197"/>
      <c r="BH179" s="197"/>
      <c r="BI179" s="197"/>
      <c r="BJ179" s="197"/>
      <c r="BK179" s="197"/>
      <c r="BL179" s="197"/>
      <c r="BM179" s="197"/>
      <c r="BN179" s="197"/>
      <c r="BO179" s="197"/>
      <c r="BP179" s="197"/>
      <c r="BQ179" s="197"/>
      <c r="BR179" s="197"/>
      <c r="BS179" s="197"/>
      <c r="BT179" s="197"/>
    </row>
    <row r="180">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c r="AA180" s="197"/>
      <c r="AB180" s="197"/>
      <c r="AC180" s="197"/>
      <c r="AD180" s="197"/>
      <c r="AE180" s="197"/>
      <c r="AF180" s="197"/>
      <c r="AG180" s="197"/>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7"/>
      <c r="BD180" s="197"/>
      <c r="BE180" s="197"/>
      <c r="BF180" s="197"/>
      <c r="BG180" s="197"/>
      <c r="BH180" s="197"/>
      <c r="BI180" s="197"/>
      <c r="BJ180" s="197"/>
      <c r="BK180" s="197"/>
      <c r="BL180" s="197"/>
      <c r="BM180" s="197"/>
      <c r="BN180" s="197"/>
      <c r="BO180" s="197"/>
      <c r="BP180" s="197"/>
      <c r="BQ180" s="197"/>
      <c r="BR180" s="197"/>
      <c r="BS180" s="197"/>
      <c r="BT180" s="197"/>
    </row>
    <row r="181">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c r="AA181" s="197"/>
      <c r="AB181" s="197"/>
      <c r="AC181" s="197"/>
      <c r="AD181" s="197"/>
      <c r="AE181" s="197"/>
      <c r="AF181" s="197"/>
      <c r="AG181" s="197"/>
      <c r="AH181" s="197"/>
      <c r="AI181" s="197"/>
      <c r="AJ181" s="197"/>
      <c r="AK181" s="197"/>
      <c r="AL181" s="197"/>
      <c r="AM181" s="197"/>
      <c r="AN181" s="197"/>
      <c r="AO181" s="197"/>
      <c r="AP181" s="197"/>
      <c r="AQ181" s="197"/>
      <c r="AR181" s="197"/>
      <c r="AS181" s="197"/>
      <c r="AT181" s="197"/>
      <c r="AU181" s="197"/>
      <c r="AV181" s="197"/>
      <c r="AW181" s="197"/>
      <c r="AX181" s="197"/>
      <c r="AY181" s="197"/>
      <c r="AZ181" s="197"/>
      <c r="BA181" s="197"/>
      <c r="BB181" s="197"/>
      <c r="BC181" s="197"/>
      <c r="BD181" s="197"/>
      <c r="BE181" s="197"/>
      <c r="BF181" s="197"/>
      <c r="BG181" s="197"/>
      <c r="BH181" s="197"/>
      <c r="BI181" s="197"/>
      <c r="BJ181" s="197"/>
      <c r="BK181" s="197"/>
      <c r="BL181" s="197"/>
      <c r="BM181" s="197"/>
      <c r="BN181" s="197"/>
      <c r="BO181" s="197"/>
      <c r="BP181" s="197"/>
      <c r="BQ181" s="197"/>
      <c r="BR181" s="197"/>
      <c r="BS181" s="197"/>
      <c r="BT181" s="197"/>
    </row>
    <row r="182">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c r="AA182" s="197"/>
      <c r="AB182" s="197"/>
      <c r="AC182" s="197"/>
      <c r="AD182" s="197"/>
      <c r="AE182" s="197"/>
      <c r="AF182" s="197"/>
      <c r="AG182" s="197"/>
      <c r="AH182" s="197"/>
      <c r="AI182" s="197"/>
      <c r="AJ182" s="197"/>
      <c r="AK182" s="197"/>
      <c r="AL182" s="197"/>
      <c r="AM182" s="197"/>
      <c r="AN182" s="197"/>
      <c r="AO182" s="197"/>
      <c r="AP182" s="197"/>
      <c r="AQ182" s="197"/>
      <c r="AR182" s="197"/>
      <c r="AS182" s="197"/>
      <c r="AT182" s="197"/>
      <c r="AU182" s="197"/>
      <c r="AV182" s="197"/>
      <c r="AW182" s="197"/>
      <c r="AX182" s="197"/>
      <c r="AY182" s="197"/>
      <c r="AZ182" s="197"/>
      <c r="BA182" s="197"/>
      <c r="BB182" s="197"/>
      <c r="BC182" s="197"/>
      <c r="BD182" s="197"/>
      <c r="BE182" s="197"/>
      <c r="BF182" s="197"/>
      <c r="BG182" s="197"/>
      <c r="BH182" s="197"/>
      <c r="BI182" s="197"/>
      <c r="BJ182" s="197"/>
      <c r="BK182" s="197"/>
      <c r="BL182" s="197"/>
      <c r="BM182" s="197"/>
      <c r="BN182" s="197"/>
      <c r="BO182" s="197"/>
      <c r="BP182" s="197"/>
      <c r="BQ182" s="197"/>
      <c r="BR182" s="197"/>
      <c r="BS182" s="197"/>
      <c r="BT182" s="197"/>
    </row>
    <row r="183">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c r="AA183" s="197"/>
      <c r="AB183" s="197"/>
      <c r="AC183" s="197"/>
      <c r="AD183" s="197"/>
      <c r="AE183" s="197"/>
      <c r="AF183" s="197"/>
      <c r="AG183" s="197"/>
      <c r="AH183" s="197"/>
      <c r="AI183" s="197"/>
      <c r="AJ183" s="197"/>
      <c r="AK183" s="197"/>
      <c r="AL183" s="197"/>
      <c r="AM183" s="197"/>
      <c r="AN183" s="197"/>
      <c r="AO183" s="197"/>
      <c r="AP183" s="197"/>
      <c r="AQ183" s="197"/>
      <c r="AR183" s="197"/>
      <c r="AS183" s="197"/>
      <c r="AT183" s="197"/>
      <c r="AU183" s="197"/>
      <c r="AV183" s="197"/>
      <c r="AW183" s="197"/>
      <c r="AX183" s="197"/>
      <c r="AY183" s="197"/>
      <c r="AZ183" s="197"/>
      <c r="BA183" s="197"/>
      <c r="BB183" s="197"/>
      <c r="BC183" s="197"/>
      <c r="BD183" s="197"/>
      <c r="BE183" s="197"/>
      <c r="BF183" s="197"/>
      <c r="BG183" s="197"/>
      <c r="BH183" s="197"/>
      <c r="BI183" s="197"/>
      <c r="BJ183" s="197"/>
      <c r="BK183" s="197"/>
      <c r="BL183" s="197"/>
      <c r="BM183" s="197"/>
      <c r="BN183" s="197"/>
      <c r="BO183" s="197"/>
      <c r="BP183" s="197"/>
      <c r="BQ183" s="197"/>
      <c r="BR183" s="197"/>
      <c r="BS183" s="197"/>
      <c r="BT183" s="197"/>
    </row>
    <row r="184">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c r="AA184" s="197"/>
      <c r="AB184" s="197"/>
      <c r="AC184" s="197"/>
      <c r="AD184" s="197"/>
      <c r="AE184" s="197"/>
      <c r="AF184" s="197"/>
      <c r="AG184" s="197"/>
      <c r="AH184" s="197"/>
      <c r="AI184" s="197"/>
      <c r="AJ184" s="197"/>
      <c r="AK184" s="197"/>
      <c r="AL184" s="197"/>
      <c r="AM184" s="197"/>
      <c r="AN184" s="197"/>
      <c r="AO184" s="197"/>
      <c r="AP184" s="197"/>
      <c r="AQ184" s="197"/>
      <c r="AR184" s="197"/>
      <c r="AS184" s="197"/>
      <c r="AT184" s="197"/>
      <c r="AU184" s="197"/>
      <c r="AV184" s="197"/>
      <c r="AW184" s="197"/>
      <c r="AX184" s="197"/>
      <c r="AY184" s="197"/>
      <c r="AZ184" s="197"/>
      <c r="BA184" s="197"/>
      <c r="BB184" s="197"/>
      <c r="BC184" s="197"/>
      <c r="BD184" s="197"/>
      <c r="BE184" s="197"/>
      <c r="BF184" s="197"/>
      <c r="BG184" s="197"/>
      <c r="BH184" s="197"/>
      <c r="BI184" s="197"/>
      <c r="BJ184" s="197"/>
      <c r="BK184" s="197"/>
      <c r="BL184" s="197"/>
      <c r="BM184" s="197"/>
      <c r="BN184" s="197"/>
      <c r="BO184" s="197"/>
      <c r="BP184" s="197"/>
      <c r="BQ184" s="197"/>
      <c r="BR184" s="197"/>
      <c r="BS184" s="197"/>
      <c r="BT184" s="197"/>
    </row>
    <row r="185">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7"/>
      <c r="BD185" s="197"/>
      <c r="BE185" s="197"/>
      <c r="BF185" s="197"/>
      <c r="BG185" s="197"/>
      <c r="BH185" s="197"/>
      <c r="BI185" s="197"/>
      <c r="BJ185" s="197"/>
      <c r="BK185" s="197"/>
      <c r="BL185" s="197"/>
      <c r="BM185" s="197"/>
      <c r="BN185" s="197"/>
      <c r="BO185" s="197"/>
      <c r="BP185" s="197"/>
      <c r="BQ185" s="197"/>
      <c r="BR185" s="197"/>
      <c r="BS185" s="197"/>
      <c r="BT185" s="197"/>
    </row>
    <row r="186">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c r="AA186" s="197"/>
      <c r="AB186" s="197"/>
      <c r="AC186" s="197"/>
      <c r="AD186" s="197"/>
      <c r="AE186" s="197"/>
      <c r="AF186" s="197"/>
      <c r="AG186" s="197"/>
      <c r="AH186" s="197"/>
      <c r="AI186" s="197"/>
      <c r="AJ186" s="197"/>
      <c r="AK186" s="197"/>
      <c r="AL186" s="197"/>
      <c r="AM186" s="197"/>
      <c r="AN186" s="197"/>
      <c r="AO186" s="197"/>
      <c r="AP186" s="197"/>
      <c r="AQ186" s="197"/>
      <c r="AR186" s="197"/>
      <c r="AS186" s="197"/>
      <c r="AT186" s="197"/>
      <c r="AU186" s="197"/>
      <c r="AV186" s="197"/>
      <c r="AW186" s="197"/>
      <c r="AX186" s="197"/>
      <c r="AY186" s="197"/>
      <c r="AZ186" s="197"/>
      <c r="BA186" s="197"/>
      <c r="BB186" s="197"/>
      <c r="BC186" s="197"/>
      <c r="BD186" s="197"/>
      <c r="BE186" s="197"/>
      <c r="BF186" s="197"/>
      <c r="BG186" s="197"/>
      <c r="BH186" s="197"/>
      <c r="BI186" s="197"/>
      <c r="BJ186" s="197"/>
      <c r="BK186" s="197"/>
      <c r="BL186" s="197"/>
      <c r="BM186" s="197"/>
      <c r="BN186" s="197"/>
      <c r="BO186" s="197"/>
      <c r="BP186" s="197"/>
      <c r="BQ186" s="197"/>
      <c r="BR186" s="197"/>
      <c r="BS186" s="197"/>
      <c r="BT186" s="197"/>
    </row>
    <row r="187">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7"/>
      <c r="BD187" s="197"/>
      <c r="BE187" s="197"/>
      <c r="BF187" s="197"/>
      <c r="BG187" s="197"/>
      <c r="BH187" s="197"/>
      <c r="BI187" s="197"/>
      <c r="BJ187" s="197"/>
      <c r="BK187" s="197"/>
      <c r="BL187" s="197"/>
      <c r="BM187" s="197"/>
      <c r="BN187" s="197"/>
      <c r="BO187" s="197"/>
      <c r="BP187" s="197"/>
      <c r="BQ187" s="197"/>
      <c r="BR187" s="197"/>
      <c r="BS187" s="197"/>
      <c r="BT187" s="197"/>
    </row>
    <row r="188">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c r="AE188" s="197"/>
      <c r="AF188" s="197"/>
      <c r="AG188" s="197"/>
      <c r="AH188" s="197"/>
      <c r="AI188" s="197"/>
      <c r="AJ188" s="197"/>
      <c r="AK188" s="197"/>
      <c r="AL188" s="197"/>
      <c r="AM188" s="197"/>
      <c r="AN188" s="197"/>
      <c r="AO188" s="197"/>
      <c r="AP188" s="197"/>
      <c r="AQ188" s="197"/>
      <c r="AR188" s="197"/>
      <c r="AS188" s="197"/>
      <c r="AT188" s="197"/>
      <c r="AU188" s="197"/>
      <c r="AV188" s="197"/>
      <c r="AW188" s="197"/>
      <c r="AX188" s="197"/>
      <c r="AY188" s="197"/>
      <c r="AZ188" s="197"/>
      <c r="BA188" s="197"/>
      <c r="BB188" s="197"/>
      <c r="BC188" s="197"/>
      <c r="BD188" s="197"/>
      <c r="BE188" s="197"/>
      <c r="BF188" s="197"/>
      <c r="BG188" s="197"/>
      <c r="BH188" s="197"/>
      <c r="BI188" s="197"/>
      <c r="BJ188" s="197"/>
      <c r="BK188" s="197"/>
      <c r="BL188" s="197"/>
      <c r="BM188" s="197"/>
      <c r="BN188" s="197"/>
      <c r="BO188" s="197"/>
      <c r="BP188" s="197"/>
      <c r="BQ188" s="197"/>
      <c r="BR188" s="197"/>
      <c r="BS188" s="197"/>
      <c r="BT188" s="197"/>
    </row>
    <row r="189">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7"/>
      <c r="BD189" s="197"/>
      <c r="BE189" s="197"/>
      <c r="BF189" s="197"/>
      <c r="BG189" s="197"/>
      <c r="BH189" s="197"/>
      <c r="BI189" s="197"/>
      <c r="BJ189" s="197"/>
      <c r="BK189" s="197"/>
      <c r="BL189" s="197"/>
      <c r="BM189" s="197"/>
      <c r="BN189" s="197"/>
      <c r="BO189" s="197"/>
      <c r="BP189" s="197"/>
      <c r="BQ189" s="197"/>
      <c r="BR189" s="197"/>
      <c r="BS189" s="197"/>
      <c r="BT189" s="197"/>
    </row>
    <row r="190">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c r="AA190" s="197"/>
      <c r="AB190" s="197"/>
      <c r="AC190" s="197"/>
      <c r="AD190" s="197"/>
      <c r="AE190" s="197"/>
      <c r="AF190" s="197"/>
      <c r="AG190" s="197"/>
      <c r="AH190" s="197"/>
      <c r="AI190" s="197"/>
      <c r="AJ190" s="197"/>
      <c r="AK190" s="197"/>
      <c r="AL190" s="197"/>
      <c r="AM190" s="197"/>
      <c r="AN190" s="197"/>
      <c r="AO190" s="197"/>
      <c r="AP190" s="197"/>
      <c r="AQ190" s="197"/>
      <c r="AR190" s="197"/>
      <c r="AS190" s="197"/>
      <c r="AT190" s="197"/>
      <c r="AU190" s="197"/>
      <c r="AV190" s="197"/>
      <c r="AW190" s="197"/>
      <c r="AX190" s="197"/>
      <c r="AY190" s="197"/>
      <c r="AZ190" s="197"/>
      <c r="BA190" s="197"/>
      <c r="BB190" s="197"/>
      <c r="BC190" s="197"/>
      <c r="BD190" s="197"/>
      <c r="BE190" s="197"/>
      <c r="BF190" s="197"/>
      <c r="BG190" s="197"/>
      <c r="BH190" s="197"/>
      <c r="BI190" s="197"/>
      <c r="BJ190" s="197"/>
      <c r="BK190" s="197"/>
      <c r="BL190" s="197"/>
      <c r="BM190" s="197"/>
      <c r="BN190" s="197"/>
      <c r="BO190" s="197"/>
      <c r="BP190" s="197"/>
      <c r="BQ190" s="197"/>
      <c r="BR190" s="197"/>
      <c r="BS190" s="197"/>
      <c r="BT190" s="197"/>
    </row>
    <row r="191">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c r="AA191" s="197"/>
      <c r="AB191" s="197"/>
      <c r="AC191" s="197"/>
      <c r="AD191" s="197"/>
      <c r="AE191" s="197"/>
      <c r="AF191" s="197"/>
      <c r="AG191" s="197"/>
      <c r="AH191" s="197"/>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7"/>
      <c r="BD191" s="197"/>
      <c r="BE191" s="197"/>
      <c r="BF191" s="197"/>
      <c r="BG191" s="197"/>
      <c r="BH191" s="197"/>
      <c r="BI191" s="197"/>
      <c r="BJ191" s="197"/>
      <c r="BK191" s="197"/>
      <c r="BL191" s="197"/>
      <c r="BM191" s="197"/>
      <c r="BN191" s="197"/>
      <c r="BO191" s="197"/>
      <c r="BP191" s="197"/>
      <c r="BQ191" s="197"/>
      <c r="BR191" s="197"/>
      <c r="BS191" s="197"/>
      <c r="BT191" s="197"/>
    </row>
    <row r="192">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c r="BD192" s="197"/>
      <c r="BE192" s="197"/>
      <c r="BF192" s="197"/>
      <c r="BG192" s="197"/>
      <c r="BH192" s="197"/>
      <c r="BI192" s="197"/>
      <c r="BJ192" s="197"/>
      <c r="BK192" s="197"/>
      <c r="BL192" s="197"/>
      <c r="BM192" s="197"/>
      <c r="BN192" s="197"/>
      <c r="BO192" s="197"/>
      <c r="BP192" s="197"/>
      <c r="BQ192" s="197"/>
      <c r="BR192" s="197"/>
      <c r="BS192" s="197"/>
      <c r="BT192" s="197"/>
    </row>
    <row r="193">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c r="AA193" s="197"/>
      <c r="AB193" s="197"/>
      <c r="AC193" s="197"/>
      <c r="AD193" s="197"/>
      <c r="AE193" s="197"/>
      <c r="AF193" s="197"/>
      <c r="AG193" s="197"/>
      <c r="AH193" s="197"/>
      <c r="AI193" s="197"/>
      <c r="AJ193" s="197"/>
      <c r="AK193" s="197"/>
      <c r="AL193" s="197"/>
      <c r="AM193" s="197"/>
      <c r="AN193" s="197"/>
      <c r="AO193" s="197"/>
      <c r="AP193" s="197"/>
      <c r="AQ193" s="197"/>
      <c r="AR193" s="197"/>
      <c r="AS193" s="197"/>
      <c r="AT193" s="197"/>
      <c r="AU193" s="197"/>
      <c r="AV193" s="197"/>
      <c r="AW193" s="197"/>
      <c r="AX193" s="197"/>
      <c r="AY193" s="197"/>
      <c r="AZ193" s="197"/>
      <c r="BA193" s="197"/>
      <c r="BB193" s="197"/>
      <c r="BC193" s="197"/>
      <c r="BD193" s="197"/>
      <c r="BE193" s="197"/>
      <c r="BF193" s="197"/>
      <c r="BG193" s="197"/>
      <c r="BH193" s="197"/>
      <c r="BI193" s="197"/>
      <c r="BJ193" s="197"/>
      <c r="BK193" s="197"/>
      <c r="BL193" s="197"/>
      <c r="BM193" s="197"/>
      <c r="BN193" s="197"/>
      <c r="BO193" s="197"/>
      <c r="BP193" s="197"/>
      <c r="BQ193" s="197"/>
      <c r="BR193" s="197"/>
      <c r="BS193" s="197"/>
      <c r="BT193" s="197"/>
    </row>
    <row r="194">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c r="AA194" s="197"/>
      <c r="AB194" s="197"/>
      <c r="AC194" s="197"/>
      <c r="AD194" s="197"/>
      <c r="AE194" s="197"/>
      <c r="AF194" s="197"/>
      <c r="AG194" s="197"/>
      <c r="AH194" s="197"/>
      <c r="AI194" s="197"/>
      <c r="AJ194" s="197"/>
      <c r="AK194" s="197"/>
      <c r="AL194" s="197"/>
      <c r="AM194" s="197"/>
      <c r="AN194" s="197"/>
      <c r="AO194" s="197"/>
      <c r="AP194" s="197"/>
      <c r="AQ194" s="197"/>
      <c r="AR194" s="197"/>
      <c r="AS194" s="197"/>
      <c r="AT194" s="197"/>
      <c r="AU194" s="197"/>
      <c r="AV194" s="197"/>
      <c r="AW194" s="197"/>
      <c r="AX194" s="197"/>
      <c r="AY194" s="197"/>
      <c r="AZ194" s="197"/>
      <c r="BA194" s="197"/>
      <c r="BB194" s="197"/>
      <c r="BC194" s="197"/>
      <c r="BD194" s="197"/>
      <c r="BE194" s="197"/>
      <c r="BF194" s="197"/>
      <c r="BG194" s="197"/>
      <c r="BH194" s="197"/>
      <c r="BI194" s="197"/>
      <c r="BJ194" s="197"/>
      <c r="BK194" s="197"/>
      <c r="BL194" s="197"/>
      <c r="BM194" s="197"/>
      <c r="BN194" s="197"/>
      <c r="BO194" s="197"/>
      <c r="BP194" s="197"/>
      <c r="BQ194" s="197"/>
      <c r="BR194" s="197"/>
      <c r="BS194" s="197"/>
      <c r="BT194" s="197"/>
    </row>
    <row r="195">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c r="AA195" s="197"/>
      <c r="AB195" s="197"/>
      <c r="AC195" s="197"/>
      <c r="AD195" s="197"/>
      <c r="AE195" s="197"/>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7"/>
      <c r="BD195" s="197"/>
      <c r="BE195" s="197"/>
      <c r="BF195" s="197"/>
      <c r="BG195" s="197"/>
      <c r="BH195" s="197"/>
      <c r="BI195" s="197"/>
      <c r="BJ195" s="197"/>
      <c r="BK195" s="197"/>
      <c r="BL195" s="197"/>
      <c r="BM195" s="197"/>
      <c r="BN195" s="197"/>
      <c r="BO195" s="197"/>
      <c r="BP195" s="197"/>
      <c r="BQ195" s="197"/>
      <c r="BR195" s="197"/>
      <c r="BS195" s="197"/>
      <c r="BT195" s="197"/>
    </row>
    <row r="196">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c r="BD196" s="197"/>
      <c r="BE196" s="197"/>
      <c r="BF196" s="197"/>
      <c r="BG196" s="197"/>
      <c r="BH196" s="197"/>
      <c r="BI196" s="197"/>
      <c r="BJ196" s="197"/>
      <c r="BK196" s="197"/>
      <c r="BL196" s="197"/>
      <c r="BM196" s="197"/>
      <c r="BN196" s="197"/>
      <c r="BO196" s="197"/>
      <c r="BP196" s="197"/>
      <c r="BQ196" s="197"/>
      <c r="BR196" s="197"/>
      <c r="BS196" s="197"/>
      <c r="BT196" s="197"/>
    </row>
    <row r="197">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c r="AA197" s="197"/>
      <c r="AB197" s="197"/>
      <c r="AC197" s="197"/>
      <c r="AD197" s="197"/>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7"/>
      <c r="BD197" s="197"/>
      <c r="BE197" s="197"/>
      <c r="BF197" s="197"/>
      <c r="BG197" s="197"/>
      <c r="BH197" s="197"/>
      <c r="BI197" s="197"/>
      <c r="BJ197" s="197"/>
      <c r="BK197" s="197"/>
      <c r="BL197" s="197"/>
      <c r="BM197" s="197"/>
      <c r="BN197" s="197"/>
      <c r="BO197" s="197"/>
      <c r="BP197" s="197"/>
      <c r="BQ197" s="197"/>
      <c r="BR197" s="197"/>
      <c r="BS197" s="197"/>
      <c r="BT197" s="197"/>
    </row>
    <row r="198">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c r="AA198" s="197"/>
      <c r="AB198" s="197"/>
      <c r="AC198" s="197"/>
      <c r="AD198" s="197"/>
      <c r="AE198" s="197"/>
      <c r="AF198" s="197"/>
      <c r="AG198" s="197"/>
      <c r="AH198" s="197"/>
      <c r="AI198" s="197"/>
      <c r="AJ198" s="197"/>
      <c r="AK198" s="197"/>
      <c r="AL198" s="197"/>
      <c r="AM198" s="197"/>
      <c r="AN198" s="197"/>
      <c r="AO198" s="197"/>
      <c r="AP198" s="197"/>
      <c r="AQ198" s="197"/>
      <c r="AR198" s="197"/>
      <c r="AS198" s="197"/>
      <c r="AT198" s="197"/>
      <c r="AU198" s="197"/>
      <c r="AV198" s="197"/>
      <c r="AW198" s="197"/>
      <c r="AX198" s="197"/>
      <c r="AY198" s="197"/>
      <c r="AZ198" s="197"/>
      <c r="BA198" s="197"/>
      <c r="BB198" s="197"/>
      <c r="BC198" s="197"/>
      <c r="BD198" s="197"/>
      <c r="BE198" s="197"/>
      <c r="BF198" s="197"/>
      <c r="BG198" s="197"/>
      <c r="BH198" s="197"/>
      <c r="BI198" s="197"/>
      <c r="BJ198" s="197"/>
      <c r="BK198" s="197"/>
      <c r="BL198" s="197"/>
      <c r="BM198" s="197"/>
      <c r="BN198" s="197"/>
      <c r="BO198" s="197"/>
      <c r="BP198" s="197"/>
      <c r="BQ198" s="197"/>
      <c r="BR198" s="197"/>
      <c r="BS198" s="197"/>
      <c r="BT198" s="197"/>
    </row>
    <row r="199">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c r="AA199" s="197"/>
      <c r="AB199" s="197"/>
      <c r="AC199" s="197"/>
      <c r="AD199" s="197"/>
      <c r="AE199" s="197"/>
      <c r="AF199" s="197"/>
      <c r="AG199" s="197"/>
      <c r="AH199" s="197"/>
      <c r="AI199" s="197"/>
      <c r="AJ199" s="197"/>
      <c r="AK199" s="197"/>
      <c r="AL199" s="197"/>
      <c r="AM199" s="197"/>
      <c r="AN199" s="197"/>
      <c r="AO199" s="197"/>
      <c r="AP199" s="197"/>
      <c r="AQ199" s="197"/>
      <c r="AR199" s="197"/>
      <c r="AS199" s="197"/>
      <c r="AT199" s="197"/>
      <c r="AU199" s="197"/>
      <c r="AV199" s="197"/>
      <c r="AW199" s="197"/>
      <c r="AX199" s="197"/>
      <c r="AY199" s="197"/>
      <c r="AZ199" s="197"/>
      <c r="BA199" s="197"/>
      <c r="BB199" s="197"/>
      <c r="BC199" s="197"/>
      <c r="BD199" s="197"/>
      <c r="BE199" s="197"/>
      <c r="BF199" s="197"/>
      <c r="BG199" s="197"/>
      <c r="BH199" s="197"/>
      <c r="BI199" s="197"/>
      <c r="BJ199" s="197"/>
      <c r="BK199" s="197"/>
      <c r="BL199" s="197"/>
      <c r="BM199" s="197"/>
      <c r="BN199" s="197"/>
      <c r="BO199" s="197"/>
      <c r="BP199" s="197"/>
      <c r="BQ199" s="197"/>
      <c r="BR199" s="197"/>
      <c r="BS199" s="197"/>
      <c r="BT199" s="197"/>
    </row>
    <row r="200">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c r="AA200" s="197"/>
      <c r="AB200" s="197"/>
      <c r="AC200" s="197"/>
      <c r="AD200" s="197"/>
      <c r="AE200" s="197"/>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7"/>
      <c r="BD200" s="197"/>
      <c r="BE200" s="197"/>
      <c r="BF200" s="197"/>
      <c r="BG200" s="197"/>
      <c r="BH200" s="197"/>
      <c r="BI200" s="197"/>
      <c r="BJ200" s="197"/>
      <c r="BK200" s="197"/>
      <c r="BL200" s="197"/>
      <c r="BM200" s="197"/>
      <c r="BN200" s="197"/>
      <c r="BO200" s="197"/>
      <c r="BP200" s="197"/>
      <c r="BQ200" s="197"/>
      <c r="BR200" s="197"/>
      <c r="BS200" s="197"/>
      <c r="BT200" s="197"/>
    </row>
    <row r="201">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c r="BB201" s="197"/>
      <c r="BC201" s="197"/>
      <c r="BD201" s="197"/>
      <c r="BE201" s="197"/>
      <c r="BF201" s="197"/>
      <c r="BG201" s="197"/>
      <c r="BH201" s="197"/>
      <c r="BI201" s="197"/>
      <c r="BJ201" s="197"/>
      <c r="BK201" s="197"/>
      <c r="BL201" s="197"/>
      <c r="BM201" s="197"/>
      <c r="BN201" s="197"/>
      <c r="BO201" s="197"/>
      <c r="BP201" s="197"/>
      <c r="BQ201" s="197"/>
      <c r="BR201" s="197"/>
      <c r="BS201" s="197"/>
      <c r="BT201" s="197"/>
    </row>
    <row r="202">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c r="AA202" s="197"/>
      <c r="AB202" s="197"/>
      <c r="AC202" s="197"/>
      <c r="AD202" s="197"/>
      <c r="AE202" s="197"/>
      <c r="AF202" s="197"/>
      <c r="AG202" s="197"/>
      <c r="AH202" s="197"/>
      <c r="AI202" s="197"/>
      <c r="AJ202" s="197"/>
      <c r="AK202" s="197"/>
      <c r="AL202" s="197"/>
      <c r="AM202" s="197"/>
      <c r="AN202" s="197"/>
      <c r="AO202" s="197"/>
      <c r="AP202" s="197"/>
      <c r="AQ202" s="197"/>
      <c r="AR202" s="197"/>
      <c r="AS202" s="197"/>
      <c r="AT202" s="197"/>
      <c r="AU202" s="197"/>
      <c r="AV202" s="197"/>
      <c r="AW202" s="197"/>
      <c r="AX202" s="197"/>
      <c r="AY202" s="197"/>
      <c r="AZ202" s="197"/>
      <c r="BA202" s="197"/>
      <c r="BB202" s="197"/>
      <c r="BC202" s="197"/>
      <c r="BD202" s="197"/>
      <c r="BE202" s="197"/>
      <c r="BF202" s="197"/>
      <c r="BG202" s="197"/>
      <c r="BH202" s="197"/>
      <c r="BI202" s="197"/>
      <c r="BJ202" s="197"/>
      <c r="BK202" s="197"/>
      <c r="BL202" s="197"/>
      <c r="BM202" s="197"/>
      <c r="BN202" s="197"/>
      <c r="BO202" s="197"/>
      <c r="BP202" s="197"/>
      <c r="BQ202" s="197"/>
      <c r="BR202" s="197"/>
      <c r="BS202" s="197"/>
      <c r="BT202" s="197"/>
    </row>
    <row r="203">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c r="AA203" s="197"/>
      <c r="AB203" s="197"/>
      <c r="AC203" s="197"/>
      <c r="AD203" s="197"/>
      <c r="AE203" s="197"/>
      <c r="AF203" s="197"/>
      <c r="AG203" s="197"/>
      <c r="AH203" s="197"/>
      <c r="AI203" s="197"/>
      <c r="AJ203" s="197"/>
      <c r="AK203" s="197"/>
      <c r="AL203" s="197"/>
      <c r="AM203" s="197"/>
      <c r="AN203" s="197"/>
      <c r="AO203" s="197"/>
      <c r="AP203" s="197"/>
      <c r="AQ203" s="197"/>
      <c r="AR203" s="197"/>
      <c r="AS203" s="197"/>
      <c r="AT203" s="197"/>
      <c r="AU203" s="197"/>
      <c r="AV203" s="197"/>
      <c r="AW203" s="197"/>
      <c r="AX203" s="197"/>
      <c r="AY203" s="197"/>
      <c r="AZ203" s="197"/>
      <c r="BA203" s="197"/>
      <c r="BB203" s="197"/>
      <c r="BC203" s="197"/>
      <c r="BD203" s="197"/>
      <c r="BE203" s="197"/>
      <c r="BF203" s="197"/>
      <c r="BG203" s="197"/>
      <c r="BH203" s="197"/>
      <c r="BI203" s="197"/>
      <c r="BJ203" s="197"/>
      <c r="BK203" s="197"/>
      <c r="BL203" s="197"/>
      <c r="BM203" s="197"/>
      <c r="BN203" s="197"/>
      <c r="BO203" s="197"/>
      <c r="BP203" s="197"/>
      <c r="BQ203" s="197"/>
      <c r="BR203" s="197"/>
      <c r="BS203" s="197"/>
      <c r="BT203" s="197"/>
    </row>
    <row r="204">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c r="AA204" s="197"/>
      <c r="AB204" s="197"/>
      <c r="AC204" s="197"/>
      <c r="AD204" s="197"/>
      <c r="AE204" s="197"/>
      <c r="AF204" s="197"/>
      <c r="AG204" s="197"/>
      <c r="AH204" s="197"/>
      <c r="AI204" s="197"/>
      <c r="AJ204" s="197"/>
      <c r="AK204" s="197"/>
      <c r="AL204" s="197"/>
      <c r="AM204" s="197"/>
      <c r="AN204" s="197"/>
      <c r="AO204" s="197"/>
      <c r="AP204" s="197"/>
      <c r="AQ204" s="197"/>
      <c r="AR204" s="197"/>
      <c r="AS204" s="197"/>
      <c r="AT204" s="197"/>
      <c r="AU204" s="197"/>
      <c r="AV204" s="197"/>
      <c r="AW204" s="197"/>
      <c r="AX204" s="197"/>
      <c r="AY204" s="197"/>
      <c r="AZ204" s="197"/>
      <c r="BA204" s="197"/>
      <c r="BB204" s="197"/>
      <c r="BC204" s="197"/>
      <c r="BD204" s="197"/>
      <c r="BE204" s="197"/>
      <c r="BF204" s="197"/>
      <c r="BG204" s="197"/>
      <c r="BH204" s="197"/>
      <c r="BI204" s="197"/>
      <c r="BJ204" s="197"/>
      <c r="BK204" s="197"/>
      <c r="BL204" s="197"/>
      <c r="BM204" s="197"/>
      <c r="BN204" s="197"/>
      <c r="BO204" s="197"/>
      <c r="BP204" s="197"/>
      <c r="BQ204" s="197"/>
      <c r="BR204" s="197"/>
      <c r="BS204" s="197"/>
      <c r="BT204" s="197"/>
    </row>
    <row r="205">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7"/>
      <c r="BD205" s="197"/>
      <c r="BE205" s="197"/>
      <c r="BF205" s="197"/>
      <c r="BG205" s="197"/>
      <c r="BH205" s="197"/>
      <c r="BI205" s="197"/>
      <c r="BJ205" s="197"/>
      <c r="BK205" s="197"/>
      <c r="BL205" s="197"/>
      <c r="BM205" s="197"/>
      <c r="BN205" s="197"/>
      <c r="BO205" s="197"/>
      <c r="BP205" s="197"/>
      <c r="BQ205" s="197"/>
      <c r="BR205" s="197"/>
      <c r="BS205" s="197"/>
      <c r="BT205" s="197"/>
    </row>
    <row r="206">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c r="AA206" s="197"/>
      <c r="AB206" s="197"/>
      <c r="AC206" s="197"/>
      <c r="AD206" s="197"/>
      <c r="AE206" s="197"/>
      <c r="AF206" s="197"/>
      <c r="AG206" s="197"/>
      <c r="AH206" s="197"/>
      <c r="AI206" s="197"/>
      <c r="AJ206" s="197"/>
      <c r="AK206" s="197"/>
      <c r="AL206" s="197"/>
      <c r="AM206" s="197"/>
      <c r="AN206" s="197"/>
      <c r="AO206" s="197"/>
      <c r="AP206" s="197"/>
      <c r="AQ206" s="197"/>
      <c r="AR206" s="197"/>
      <c r="AS206" s="197"/>
      <c r="AT206" s="197"/>
      <c r="AU206" s="197"/>
      <c r="AV206" s="197"/>
      <c r="AW206" s="197"/>
      <c r="AX206" s="197"/>
      <c r="AY206" s="197"/>
      <c r="AZ206" s="197"/>
      <c r="BA206" s="197"/>
      <c r="BB206" s="197"/>
      <c r="BC206" s="197"/>
      <c r="BD206" s="197"/>
      <c r="BE206" s="197"/>
      <c r="BF206" s="197"/>
      <c r="BG206" s="197"/>
      <c r="BH206" s="197"/>
      <c r="BI206" s="197"/>
      <c r="BJ206" s="197"/>
      <c r="BK206" s="197"/>
      <c r="BL206" s="197"/>
      <c r="BM206" s="197"/>
      <c r="BN206" s="197"/>
      <c r="BO206" s="197"/>
      <c r="BP206" s="197"/>
      <c r="BQ206" s="197"/>
      <c r="BR206" s="197"/>
      <c r="BS206" s="197"/>
      <c r="BT206" s="197"/>
    </row>
    <row r="207">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c r="AA207" s="197"/>
      <c r="AB207" s="197"/>
      <c r="AC207" s="197"/>
      <c r="AD207" s="197"/>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7"/>
      <c r="BD207" s="197"/>
      <c r="BE207" s="197"/>
      <c r="BF207" s="197"/>
      <c r="BG207" s="197"/>
      <c r="BH207" s="197"/>
      <c r="BI207" s="197"/>
      <c r="BJ207" s="197"/>
      <c r="BK207" s="197"/>
      <c r="BL207" s="197"/>
      <c r="BM207" s="197"/>
      <c r="BN207" s="197"/>
      <c r="BO207" s="197"/>
      <c r="BP207" s="197"/>
      <c r="BQ207" s="197"/>
      <c r="BR207" s="197"/>
      <c r="BS207" s="197"/>
      <c r="BT207" s="197"/>
    </row>
    <row r="208">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c r="AA208" s="197"/>
      <c r="AB208" s="197"/>
      <c r="AC208" s="197"/>
      <c r="AD208" s="197"/>
      <c r="AE208" s="197"/>
      <c r="AF208" s="197"/>
      <c r="AG208" s="197"/>
      <c r="AH208" s="197"/>
      <c r="AI208" s="197"/>
      <c r="AJ208" s="197"/>
      <c r="AK208" s="197"/>
      <c r="AL208" s="197"/>
      <c r="AM208" s="197"/>
      <c r="AN208" s="197"/>
      <c r="AO208" s="197"/>
      <c r="AP208" s="197"/>
      <c r="AQ208" s="197"/>
      <c r="AR208" s="197"/>
      <c r="AS208" s="197"/>
      <c r="AT208" s="197"/>
      <c r="AU208" s="197"/>
      <c r="AV208" s="197"/>
      <c r="AW208" s="197"/>
      <c r="AX208" s="197"/>
      <c r="AY208" s="197"/>
      <c r="AZ208" s="197"/>
      <c r="BA208" s="197"/>
      <c r="BB208" s="197"/>
      <c r="BC208" s="197"/>
      <c r="BD208" s="197"/>
      <c r="BE208" s="197"/>
      <c r="BF208" s="197"/>
      <c r="BG208" s="197"/>
      <c r="BH208" s="197"/>
      <c r="BI208" s="197"/>
      <c r="BJ208" s="197"/>
      <c r="BK208" s="197"/>
      <c r="BL208" s="197"/>
      <c r="BM208" s="197"/>
      <c r="BN208" s="197"/>
      <c r="BO208" s="197"/>
      <c r="BP208" s="197"/>
      <c r="BQ208" s="197"/>
      <c r="BR208" s="197"/>
      <c r="BS208" s="197"/>
      <c r="BT208" s="197"/>
    </row>
    <row r="209">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c r="AA209" s="197"/>
      <c r="AB209" s="197"/>
      <c r="AC209" s="197"/>
      <c r="AD209" s="197"/>
      <c r="AE209" s="197"/>
      <c r="AF209" s="197"/>
      <c r="AG209" s="197"/>
      <c r="AH209" s="197"/>
      <c r="AI209" s="197"/>
      <c r="AJ209" s="197"/>
      <c r="AK209" s="197"/>
      <c r="AL209" s="197"/>
      <c r="AM209" s="197"/>
      <c r="AN209" s="197"/>
      <c r="AO209" s="197"/>
      <c r="AP209" s="197"/>
      <c r="AQ209" s="197"/>
      <c r="AR209" s="197"/>
      <c r="AS209" s="197"/>
      <c r="AT209" s="197"/>
      <c r="AU209" s="197"/>
      <c r="AV209" s="197"/>
      <c r="AW209" s="197"/>
      <c r="AX209" s="197"/>
      <c r="AY209" s="197"/>
      <c r="AZ209" s="197"/>
      <c r="BA209" s="197"/>
      <c r="BB209" s="197"/>
      <c r="BC209" s="197"/>
      <c r="BD209" s="197"/>
      <c r="BE209" s="197"/>
      <c r="BF209" s="197"/>
      <c r="BG209" s="197"/>
      <c r="BH209" s="197"/>
      <c r="BI209" s="197"/>
      <c r="BJ209" s="197"/>
      <c r="BK209" s="197"/>
      <c r="BL209" s="197"/>
      <c r="BM209" s="197"/>
      <c r="BN209" s="197"/>
      <c r="BO209" s="197"/>
      <c r="BP209" s="197"/>
      <c r="BQ209" s="197"/>
      <c r="BR209" s="197"/>
      <c r="BS209" s="197"/>
      <c r="BT209" s="197"/>
    </row>
    <row r="210">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c r="AA210" s="197"/>
      <c r="AB210" s="197"/>
      <c r="AC210" s="197"/>
      <c r="AD210" s="197"/>
      <c r="AE210" s="197"/>
      <c r="AF210" s="197"/>
      <c r="AG210" s="197"/>
      <c r="AH210" s="197"/>
      <c r="AI210" s="197"/>
      <c r="AJ210" s="197"/>
      <c r="AK210" s="197"/>
      <c r="AL210" s="197"/>
      <c r="AM210" s="197"/>
      <c r="AN210" s="197"/>
      <c r="AO210" s="197"/>
      <c r="AP210" s="197"/>
      <c r="AQ210" s="197"/>
      <c r="AR210" s="197"/>
      <c r="AS210" s="197"/>
      <c r="AT210" s="197"/>
      <c r="AU210" s="197"/>
      <c r="AV210" s="197"/>
      <c r="AW210" s="197"/>
      <c r="AX210" s="197"/>
      <c r="AY210" s="197"/>
      <c r="AZ210" s="197"/>
      <c r="BA210" s="197"/>
      <c r="BB210" s="197"/>
      <c r="BC210" s="197"/>
      <c r="BD210" s="197"/>
      <c r="BE210" s="197"/>
      <c r="BF210" s="197"/>
      <c r="BG210" s="197"/>
      <c r="BH210" s="197"/>
      <c r="BI210" s="197"/>
      <c r="BJ210" s="197"/>
      <c r="BK210" s="197"/>
      <c r="BL210" s="197"/>
      <c r="BM210" s="197"/>
      <c r="BN210" s="197"/>
      <c r="BO210" s="197"/>
      <c r="BP210" s="197"/>
      <c r="BQ210" s="197"/>
      <c r="BR210" s="197"/>
      <c r="BS210" s="197"/>
      <c r="BT210" s="197"/>
    </row>
    <row r="211">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197"/>
      <c r="AU211" s="197"/>
      <c r="AV211" s="197"/>
      <c r="AW211" s="197"/>
      <c r="AX211" s="197"/>
      <c r="AY211" s="197"/>
      <c r="AZ211" s="197"/>
      <c r="BA211" s="197"/>
      <c r="BB211" s="197"/>
      <c r="BC211" s="197"/>
      <c r="BD211" s="197"/>
      <c r="BE211" s="197"/>
      <c r="BF211" s="197"/>
      <c r="BG211" s="197"/>
      <c r="BH211" s="197"/>
      <c r="BI211" s="197"/>
      <c r="BJ211" s="197"/>
      <c r="BK211" s="197"/>
      <c r="BL211" s="197"/>
      <c r="BM211" s="197"/>
      <c r="BN211" s="197"/>
      <c r="BO211" s="197"/>
      <c r="BP211" s="197"/>
      <c r="BQ211" s="197"/>
      <c r="BR211" s="197"/>
      <c r="BS211" s="197"/>
      <c r="BT211" s="197"/>
    </row>
    <row r="212">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c r="AA212" s="197"/>
      <c r="AB212" s="197"/>
      <c r="AC212" s="197"/>
      <c r="AD212" s="197"/>
      <c r="AE212" s="197"/>
      <c r="AF212" s="197"/>
      <c r="AG212" s="197"/>
      <c r="AH212" s="197"/>
      <c r="AI212" s="197"/>
      <c r="AJ212" s="197"/>
      <c r="AK212" s="197"/>
      <c r="AL212" s="197"/>
      <c r="AM212" s="197"/>
      <c r="AN212" s="197"/>
      <c r="AO212" s="197"/>
      <c r="AP212" s="197"/>
      <c r="AQ212" s="197"/>
      <c r="AR212" s="197"/>
      <c r="AS212" s="197"/>
      <c r="AT212" s="197"/>
      <c r="AU212" s="197"/>
      <c r="AV212" s="197"/>
      <c r="AW212" s="197"/>
      <c r="AX212" s="197"/>
      <c r="AY212" s="197"/>
      <c r="AZ212" s="197"/>
      <c r="BA212" s="197"/>
      <c r="BB212" s="197"/>
      <c r="BC212" s="197"/>
      <c r="BD212" s="197"/>
      <c r="BE212" s="197"/>
      <c r="BF212" s="197"/>
      <c r="BG212" s="197"/>
      <c r="BH212" s="197"/>
      <c r="BI212" s="197"/>
      <c r="BJ212" s="197"/>
      <c r="BK212" s="197"/>
      <c r="BL212" s="197"/>
      <c r="BM212" s="197"/>
      <c r="BN212" s="197"/>
      <c r="BO212" s="197"/>
      <c r="BP212" s="197"/>
      <c r="BQ212" s="197"/>
      <c r="BR212" s="197"/>
      <c r="BS212" s="197"/>
      <c r="BT212" s="197"/>
    </row>
    <row r="213">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c r="AA213" s="197"/>
      <c r="AB213" s="197"/>
      <c r="AC213" s="197"/>
      <c r="AD213" s="197"/>
      <c r="AE213" s="197"/>
      <c r="AF213" s="197"/>
      <c r="AG213" s="197"/>
      <c r="AH213" s="197"/>
      <c r="AI213" s="197"/>
      <c r="AJ213" s="197"/>
      <c r="AK213" s="197"/>
      <c r="AL213" s="197"/>
      <c r="AM213" s="197"/>
      <c r="AN213" s="197"/>
      <c r="AO213" s="197"/>
      <c r="AP213" s="197"/>
      <c r="AQ213" s="197"/>
      <c r="AR213" s="197"/>
      <c r="AS213" s="197"/>
      <c r="AT213" s="197"/>
      <c r="AU213" s="197"/>
      <c r="AV213" s="197"/>
      <c r="AW213" s="197"/>
      <c r="AX213" s="197"/>
      <c r="AY213" s="197"/>
      <c r="AZ213" s="197"/>
      <c r="BA213" s="197"/>
      <c r="BB213" s="197"/>
      <c r="BC213" s="197"/>
      <c r="BD213" s="197"/>
      <c r="BE213" s="197"/>
      <c r="BF213" s="197"/>
      <c r="BG213" s="197"/>
      <c r="BH213" s="197"/>
      <c r="BI213" s="197"/>
      <c r="BJ213" s="197"/>
      <c r="BK213" s="197"/>
      <c r="BL213" s="197"/>
      <c r="BM213" s="197"/>
      <c r="BN213" s="197"/>
      <c r="BO213" s="197"/>
      <c r="BP213" s="197"/>
      <c r="BQ213" s="197"/>
      <c r="BR213" s="197"/>
      <c r="BS213" s="197"/>
      <c r="BT213" s="197"/>
    </row>
    <row r="214">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c r="AA214" s="197"/>
      <c r="AB214" s="197"/>
      <c r="AC214" s="197"/>
      <c r="AD214" s="197"/>
      <c r="AE214" s="197"/>
      <c r="AF214" s="197"/>
      <c r="AG214" s="197"/>
      <c r="AH214" s="197"/>
      <c r="AI214" s="197"/>
      <c r="AJ214" s="197"/>
      <c r="AK214" s="197"/>
      <c r="AL214" s="197"/>
      <c r="AM214" s="197"/>
      <c r="AN214" s="197"/>
      <c r="AO214" s="197"/>
      <c r="AP214" s="197"/>
      <c r="AQ214" s="197"/>
      <c r="AR214" s="197"/>
      <c r="AS214" s="197"/>
      <c r="AT214" s="197"/>
      <c r="AU214" s="197"/>
      <c r="AV214" s="197"/>
      <c r="AW214" s="197"/>
      <c r="AX214" s="197"/>
      <c r="AY214" s="197"/>
      <c r="AZ214" s="197"/>
      <c r="BA214" s="197"/>
      <c r="BB214" s="197"/>
      <c r="BC214" s="197"/>
      <c r="BD214" s="197"/>
      <c r="BE214" s="197"/>
      <c r="BF214" s="197"/>
      <c r="BG214" s="197"/>
      <c r="BH214" s="197"/>
      <c r="BI214" s="197"/>
      <c r="BJ214" s="197"/>
      <c r="BK214" s="197"/>
      <c r="BL214" s="197"/>
      <c r="BM214" s="197"/>
      <c r="BN214" s="197"/>
      <c r="BO214" s="197"/>
      <c r="BP214" s="197"/>
      <c r="BQ214" s="197"/>
      <c r="BR214" s="197"/>
      <c r="BS214" s="197"/>
      <c r="BT214" s="197"/>
    </row>
    <row r="215">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c r="AA215" s="197"/>
      <c r="AB215" s="197"/>
      <c r="AC215" s="197"/>
      <c r="AD215" s="197"/>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7"/>
      <c r="BD215" s="197"/>
      <c r="BE215" s="197"/>
      <c r="BF215" s="197"/>
      <c r="BG215" s="197"/>
      <c r="BH215" s="197"/>
      <c r="BI215" s="197"/>
      <c r="BJ215" s="197"/>
      <c r="BK215" s="197"/>
      <c r="BL215" s="197"/>
      <c r="BM215" s="197"/>
      <c r="BN215" s="197"/>
      <c r="BO215" s="197"/>
      <c r="BP215" s="197"/>
      <c r="BQ215" s="197"/>
      <c r="BR215" s="197"/>
      <c r="BS215" s="197"/>
      <c r="BT215" s="197"/>
    </row>
    <row r="216">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c r="AA216" s="197"/>
      <c r="AB216" s="197"/>
      <c r="AC216" s="197"/>
      <c r="AD216" s="197"/>
      <c r="AE216" s="197"/>
      <c r="AF216" s="197"/>
      <c r="AG216" s="197"/>
      <c r="AH216" s="197"/>
      <c r="AI216" s="197"/>
      <c r="AJ216" s="197"/>
      <c r="AK216" s="197"/>
      <c r="AL216" s="197"/>
      <c r="AM216" s="197"/>
      <c r="AN216" s="197"/>
      <c r="AO216" s="197"/>
      <c r="AP216" s="197"/>
      <c r="AQ216" s="197"/>
      <c r="AR216" s="197"/>
      <c r="AS216" s="197"/>
      <c r="AT216" s="197"/>
      <c r="AU216" s="197"/>
      <c r="AV216" s="197"/>
      <c r="AW216" s="197"/>
      <c r="AX216" s="197"/>
      <c r="AY216" s="197"/>
      <c r="AZ216" s="197"/>
      <c r="BA216" s="197"/>
      <c r="BB216" s="197"/>
      <c r="BC216" s="197"/>
      <c r="BD216" s="197"/>
      <c r="BE216" s="197"/>
      <c r="BF216" s="197"/>
      <c r="BG216" s="197"/>
      <c r="BH216" s="197"/>
      <c r="BI216" s="197"/>
      <c r="BJ216" s="197"/>
      <c r="BK216" s="197"/>
      <c r="BL216" s="197"/>
      <c r="BM216" s="197"/>
      <c r="BN216" s="197"/>
      <c r="BO216" s="197"/>
      <c r="BP216" s="197"/>
      <c r="BQ216" s="197"/>
      <c r="BR216" s="197"/>
      <c r="BS216" s="197"/>
      <c r="BT216" s="197"/>
    </row>
    <row r="217">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c r="AA217" s="197"/>
      <c r="AB217" s="197"/>
      <c r="AC217" s="197"/>
      <c r="AD217" s="197"/>
      <c r="AE217" s="197"/>
      <c r="AF217" s="197"/>
      <c r="AG217" s="197"/>
      <c r="AH217" s="197"/>
      <c r="AI217" s="197"/>
      <c r="AJ217" s="197"/>
      <c r="AK217" s="197"/>
      <c r="AL217" s="197"/>
      <c r="AM217" s="197"/>
      <c r="AN217" s="197"/>
      <c r="AO217" s="197"/>
      <c r="AP217" s="197"/>
      <c r="AQ217" s="197"/>
      <c r="AR217" s="197"/>
      <c r="AS217" s="197"/>
      <c r="AT217" s="197"/>
      <c r="AU217" s="197"/>
      <c r="AV217" s="197"/>
      <c r="AW217" s="197"/>
      <c r="AX217" s="197"/>
      <c r="AY217" s="197"/>
      <c r="AZ217" s="197"/>
      <c r="BA217" s="197"/>
      <c r="BB217" s="197"/>
      <c r="BC217" s="197"/>
      <c r="BD217" s="197"/>
      <c r="BE217" s="197"/>
      <c r="BF217" s="197"/>
      <c r="BG217" s="197"/>
      <c r="BH217" s="197"/>
      <c r="BI217" s="197"/>
      <c r="BJ217" s="197"/>
      <c r="BK217" s="197"/>
      <c r="BL217" s="197"/>
      <c r="BM217" s="197"/>
      <c r="BN217" s="197"/>
      <c r="BO217" s="197"/>
      <c r="BP217" s="197"/>
      <c r="BQ217" s="197"/>
      <c r="BR217" s="197"/>
      <c r="BS217" s="197"/>
      <c r="BT217" s="197"/>
    </row>
    <row r="218">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c r="AA218" s="197"/>
      <c r="AB218" s="197"/>
      <c r="AC218" s="197"/>
      <c r="AD218" s="197"/>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7"/>
      <c r="BD218" s="197"/>
      <c r="BE218" s="197"/>
      <c r="BF218" s="197"/>
      <c r="BG218" s="197"/>
      <c r="BH218" s="197"/>
      <c r="BI218" s="197"/>
      <c r="BJ218" s="197"/>
      <c r="BK218" s="197"/>
      <c r="BL218" s="197"/>
      <c r="BM218" s="197"/>
      <c r="BN218" s="197"/>
      <c r="BO218" s="197"/>
      <c r="BP218" s="197"/>
      <c r="BQ218" s="197"/>
      <c r="BR218" s="197"/>
      <c r="BS218" s="197"/>
      <c r="BT218" s="197"/>
    </row>
    <row r="219">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c r="AA219" s="197"/>
      <c r="AB219" s="197"/>
      <c r="AC219" s="197"/>
      <c r="AD219" s="197"/>
      <c r="AE219" s="197"/>
      <c r="AF219" s="197"/>
      <c r="AG219" s="197"/>
      <c r="AH219" s="197"/>
      <c r="AI219" s="197"/>
      <c r="AJ219" s="197"/>
      <c r="AK219" s="197"/>
      <c r="AL219" s="197"/>
      <c r="AM219" s="197"/>
      <c r="AN219" s="197"/>
      <c r="AO219" s="197"/>
      <c r="AP219" s="197"/>
      <c r="AQ219" s="197"/>
      <c r="AR219" s="197"/>
      <c r="AS219" s="197"/>
      <c r="AT219" s="197"/>
      <c r="AU219" s="197"/>
      <c r="AV219" s="197"/>
      <c r="AW219" s="197"/>
      <c r="AX219" s="197"/>
      <c r="AY219" s="197"/>
      <c r="AZ219" s="197"/>
      <c r="BA219" s="197"/>
      <c r="BB219" s="197"/>
      <c r="BC219" s="197"/>
      <c r="BD219" s="197"/>
      <c r="BE219" s="197"/>
      <c r="BF219" s="197"/>
      <c r="BG219" s="197"/>
      <c r="BH219" s="197"/>
      <c r="BI219" s="197"/>
      <c r="BJ219" s="197"/>
      <c r="BK219" s="197"/>
      <c r="BL219" s="197"/>
      <c r="BM219" s="197"/>
      <c r="BN219" s="197"/>
      <c r="BO219" s="197"/>
      <c r="BP219" s="197"/>
      <c r="BQ219" s="197"/>
      <c r="BR219" s="197"/>
      <c r="BS219" s="197"/>
      <c r="BT219" s="197"/>
    </row>
    <row r="220">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c r="AA220" s="197"/>
      <c r="AB220" s="197"/>
      <c r="AC220" s="197"/>
      <c r="AD220" s="197"/>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7"/>
      <c r="BD220" s="197"/>
      <c r="BE220" s="197"/>
      <c r="BF220" s="197"/>
      <c r="BG220" s="197"/>
      <c r="BH220" s="197"/>
      <c r="BI220" s="197"/>
      <c r="BJ220" s="197"/>
      <c r="BK220" s="197"/>
      <c r="BL220" s="197"/>
      <c r="BM220" s="197"/>
      <c r="BN220" s="197"/>
      <c r="BO220" s="197"/>
      <c r="BP220" s="197"/>
      <c r="BQ220" s="197"/>
      <c r="BR220" s="197"/>
      <c r="BS220" s="197"/>
      <c r="BT220" s="197"/>
    </row>
    <row r="221">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7"/>
      <c r="BD221" s="197"/>
      <c r="BE221" s="197"/>
      <c r="BF221" s="197"/>
      <c r="BG221" s="197"/>
      <c r="BH221" s="197"/>
      <c r="BI221" s="197"/>
      <c r="BJ221" s="197"/>
      <c r="BK221" s="197"/>
      <c r="BL221" s="197"/>
      <c r="BM221" s="197"/>
      <c r="BN221" s="197"/>
      <c r="BO221" s="197"/>
      <c r="BP221" s="197"/>
      <c r="BQ221" s="197"/>
      <c r="BR221" s="197"/>
      <c r="BS221" s="197"/>
      <c r="BT221" s="197"/>
    </row>
    <row r="222">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c r="AA222" s="197"/>
      <c r="AB222" s="197"/>
      <c r="AC222" s="197"/>
      <c r="AD222" s="197"/>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7"/>
      <c r="BD222" s="197"/>
      <c r="BE222" s="197"/>
      <c r="BF222" s="197"/>
      <c r="BG222" s="197"/>
      <c r="BH222" s="197"/>
      <c r="BI222" s="197"/>
      <c r="BJ222" s="197"/>
      <c r="BK222" s="197"/>
      <c r="BL222" s="197"/>
      <c r="BM222" s="197"/>
      <c r="BN222" s="197"/>
      <c r="BO222" s="197"/>
      <c r="BP222" s="197"/>
      <c r="BQ222" s="197"/>
      <c r="BR222" s="197"/>
      <c r="BS222" s="197"/>
      <c r="BT222" s="197"/>
    </row>
    <row r="223">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c r="AA223" s="197"/>
      <c r="AB223" s="197"/>
      <c r="AC223" s="197"/>
      <c r="AD223" s="197"/>
      <c r="AE223" s="197"/>
      <c r="AF223" s="197"/>
      <c r="AG223" s="197"/>
      <c r="AH223" s="197"/>
      <c r="AI223" s="197"/>
      <c r="AJ223" s="197"/>
      <c r="AK223" s="197"/>
      <c r="AL223" s="197"/>
      <c r="AM223" s="197"/>
      <c r="AN223" s="197"/>
      <c r="AO223" s="197"/>
      <c r="AP223" s="197"/>
      <c r="AQ223" s="197"/>
      <c r="AR223" s="197"/>
      <c r="AS223" s="197"/>
      <c r="AT223" s="197"/>
      <c r="AU223" s="197"/>
      <c r="AV223" s="197"/>
      <c r="AW223" s="197"/>
      <c r="AX223" s="197"/>
      <c r="AY223" s="197"/>
      <c r="AZ223" s="197"/>
      <c r="BA223" s="197"/>
      <c r="BB223" s="197"/>
      <c r="BC223" s="197"/>
      <c r="BD223" s="197"/>
      <c r="BE223" s="197"/>
      <c r="BF223" s="197"/>
      <c r="BG223" s="197"/>
      <c r="BH223" s="197"/>
      <c r="BI223" s="197"/>
      <c r="BJ223" s="197"/>
      <c r="BK223" s="197"/>
      <c r="BL223" s="197"/>
      <c r="BM223" s="197"/>
      <c r="BN223" s="197"/>
      <c r="BO223" s="197"/>
      <c r="BP223" s="197"/>
      <c r="BQ223" s="197"/>
      <c r="BR223" s="197"/>
      <c r="BS223" s="197"/>
      <c r="BT223" s="197"/>
    </row>
    <row r="224">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c r="AA224" s="197"/>
      <c r="AB224" s="197"/>
      <c r="AC224" s="197"/>
      <c r="AD224" s="197"/>
      <c r="AE224" s="197"/>
      <c r="AF224" s="197"/>
      <c r="AG224" s="197"/>
      <c r="AH224" s="197"/>
      <c r="AI224" s="197"/>
      <c r="AJ224" s="197"/>
      <c r="AK224" s="197"/>
      <c r="AL224" s="197"/>
      <c r="AM224" s="197"/>
      <c r="AN224" s="197"/>
      <c r="AO224" s="197"/>
      <c r="AP224" s="197"/>
      <c r="AQ224" s="197"/>
      <c r="AR224" s="197"/>
      <c r="AS224" s="197"/>
      <c r="AT224" s="197"/>
      <c r="AU224" s="197"/>
      <c r="AV224" s="197"/>
      <c r="AW224" s="197"/>
      <c r="AX224" s="197"/>
      <c r="AY224" s="197"/>
      <c r="AZ224" s="197"/>
      <c r="BA224" s="197"/>
      <c r="BB224" s="197"/>
      <c r="BC224" s="197"/>
      <c r="BD224" s="197"/>
      <c r="BE224" s="197"/>
      <c r="BF224" s="197"/>
      <c r="BG224" s="197"/>
      <c r="BH224" s="197"/>
      <c r="BI224" s="197"/>
      <c r="BJ224" s="197"/>
      <c r="BK224" s="197"/>
      <c r="BL224" s="197"/>
      <c r="BM224" s="197"/>
      <c r="BN224" s="197"/>
      <c r="BO224" s="197"/>
      <c r="BP224" s="197"/>
      <c r="BQ224" s="197"/>
      <c r="BR224" s="197"/>
      <c r="BS224" s="197"/>
      <c r="BT224" s="197"/>
    </row>
    <row r="225">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c r="AA225" s="197"/>
      <c r="AB225" s="197"/>
      <c r="AC225" s="197"/>
      <c r="AD225" s="197"/>
      <c r="AE225" s="197"/>
      <c r="AF225" s="197"/>
      <c r="AG225" s="197"/>
      <c r="AH225" s="197"/>
      <c r="AI225" s="197"/>
      <c r="AJ225" s="197"/>
      <c r="AK225" s="197"/>
      <c r="AL225" s="197"/>
      <c r="AM225" s="197"/>
      <c r="AN225" s="197"/>
      <c r="AO225" s="197"/>
      <c r="AP225" s="197"/>
      <c r="AQ225" s="197"/>
      <c r="AR225" s="197"/>
      <c r="AS225" s="197"/>
      <c r="AT225" s="197"/>
      <c r="AU225" s="197"/>
      <c r="AV225" s="197"/>
      <c r="AW225" s="197"/>
      <c r="AX225" s="197"/>
      <c r="AY225" s="197"/>
      <c r="AZ225" s="197"/>
      <c r="BA225" s="197"/>
      <c r="BB225" s="197"/>
      <c r="BC225" s="197"/>
      <c r="BD225" s="197"/>
      <c r="BE225" s="197"/>
      <c r="BF225" s="197"/>
      <c r="BG225" s="197"/>
      <c r="BH225" s="197"/>
      <c r="BI225" s="197"/>
      <c r="BJ225" s="197"/>
      <c r="BK225" s="197"/>
      <c r="BL225" s="197"/>
      <c r="BM225" s="197"/>
      <c r="BN225" s="197"/>
      <c r="BO225" s="197"/>
      <c r="BP225" s="197"/>
      <c r="BQ225" s="197"/>
      <c r="BR225" s="197"/>
      <c r="BS225" s="197"/>
      <c r="BT225" s="197"/>
    </row>
    <row r="226">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c r="AA226" s="197"/>
      <c r="AB226" s="197"/>
      <c r="AC226" s="197"/>
      <c r="AD226" s="197"/>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7"/>
      <c r="BD226" s="197"/>
      <c r="BE226" s="197"/>
      <c r="BF226" s="197"/>
      <c r="BG226" s="197"/>
      <c r="BH226" s="197"/>
      <c r="BI226" s="197"/>
      <c r="BJ226" s="197"/>
      <c r="BK226" s="197"/>
      <c r="BL226" s="197"/>
      <c r="BM226" s="197"/>
      <c r="BN226" s="197"/>
      <c r="BO226" s="197"/>
      <c r="BP226" s="197"/>
      <c r="BQ226" s="197"/>
      <c r="BR226" s="197"/>
      <c r="BS226" s="197"/>
      <c r="BT226" s="197"/>
    </row>
    <row r="227">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c r="AA227" s="197"/>
      <c r="AB227" s="197"/>
      <c r="AC227" s="197"/>
      <c r="AD227" s="197"/>
      <c r="AE227" s="197"/>
      <c r="AF227" s="197"/>
      <c r="AG227" s="197"/>
      <c r="AH227" s="197"/>
      <c r="AI227" s="197"/>
      <c r="AJ227" s="197"/>
      <c r="AK227" s="197"/>
      <c r="AL227" s="197"/>
      <c r="AM227" s="197"/>
      <c r="AN227" s="197"/>
      <c r="AO227" s="197"/>
      <c r="AP227" s="197"/>
      <c r="AQ227" s="197"/>
      <c r="AR227" s="197"/>
      <c r="AS227" s="197"/>
      <c r="AT227" s="197"/>
      <c r="AU227" s="197"/>
      <c r="AV227" s="197"/>
      <c r="AW227" s="197"/>
      <c r="AX227" s="197"/>
      <c r="AY227" s="197"/>
      <c r="AZ227" s="197"/>
      <c r="BA227" s="197"/>
      <c r="BB227" s="197"/>
      <c r="BC227" s="197"/>
      <c r="BD227" s="197"/>
      <c r="BE227" s="197"/>
      <c r="BF227" s="197"/>
      <c r="BG227" s="197"/>
      <c r="BH227" s="197"/>
      <c r="BI227" s="197"/>
      <c r="BJ227" s="197"/>
      <c r="BK227" s="197"/>
      <c r="BL227" s="197"/>
      <c r="BM227" s="197"/>
      <c r="BN227" s="197"/>
      <c r="BO227" s="197"/>
      <c r="BP227" s="197"/>
      <c r="BQ227" s="197"/>
      <c r="BR227" s="197"/>
      <c r="BS227" s="197"/>
      <c r="BT227" s="197"/>
    </row>
    <row r="228">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c r="AA228" s="197"/>
      <c r="AB228" s="197"/>
      <c r="AC228" s="197"/>
      <c r="AD228" s="197"/>
      <c r="AE228" s="197"/>
      <c r="AF228" s="197"/>
      <c r="AG228" s="197"/>
      <c r="AH228" s="197"/>
      <c r="AI228" s="197"/>
      <c r="AJ228" s="197"/>
      <c r="AK228" s="197"/>
      <c r="AL228" s="197"/>
      <c r="AM228" s="197"/>
      <c r="AN228" s="197"/>
      <c r="AO228" s="197"/>
      <c r="AP228" s="197"/>
      <c r="AQ228" s="197"/>
      <c r="AR228" s="197"/>
      <c r="AS228" s="197"/>
      <c r="AT228" s="197"/>
      <c r="AU228" s="197"/>
      <c r="AV228" s="197"/>
      <c r="AW228" s="197"/>
      <c r="AX228" s="197"/>
      <c r="AY228" s="197"/>
      <c r="AZ228" s="197"/>
      <c r="BA228" s="197"/>
      <c r="BB228" s="197"/>
      <c r="BC228" s="197"/>
      <c r="BD228" s="197"/>
      <c r="BE228" s="197"/>
      <c r="BF228" s="197"/>
      <c r="BG228" s="197"/>
      <c r="BH228" s="197"/>
      <c r="BI228" s="197"/>
      <c r="BJ228" s="197"/>
      <c r="BK228" s="197"/>
      <c r="BL228" s="197"/>
      <c r="BM228" s="197"/>
      <c r="BN228" s="197"/>
      <c r="BO228" s="197"/>
      <c r="BP228" s="197"/>
      <c r="BQ228" s="197"/>
      <c r="BR228" s="197"/>
      <c r="BS228" s="197"/>
      <c r="BT228" s="197"/>
    </row>
    <row r="229">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c r="AA229" s="197"/>
      <c r="AB229" s="197"/>
      <c r="AC229" s="197"/>
      <c r="AD229" s="197"/>
      <c r="AE229" s="197"/>
      <c r="AF229" s="197"/>
      <c r="AG229" s="197"/>
      <c r="AH229" s="197"/>
      <c r="AI229" s="197"/>
      <c r="AJ229" s="197"/>
      <c r="AK229" s="197"/>
      <c r="AL229" s="197"/>
      <c r="AM229" s="197"/>
      <c r="AN229" s="197"/>
      <c r="AO229" s="197"/>
      <c r="AP229" s="197"/>
      <c r="AQ229" s="197"/>
      <c r="AR229" s="197"/>
      <c r="AS229" s="197"/>
      <c r="AT229" s="197"/>
      <c r="AU229" s="197"/>
      <c r="AV229" s="197"/>
      <c r="AW229" s="197"/>
      <c r="AX229" s="197"/>
      <c r="AY229" s="197"/>
      <c r="AZ229" s="197"/>
      <c r="BA229" s="197"/>
      <c r="BB229" s="197"/>
      <c r="BC229" s="197"/>
      <c r="BD229" s="197"/>
      <c r="BE229" s="197"/>
      <c r="BF229" s="197"/>
      <c r="BG229" s="197"/>
      <c r="BH229" s="197"/>
      <c r="BI229" s="197"/>
      <c r="BJ229" s="197"/>
      <c r="BK229" s="197"/>
      <c r="BL229" s="197"/>
      <c r="BM229" s="197"/>
      <c r="BN229" s="197"/>
      <c r="BO229" s="197"/>
      <c r="BP229" s="197"/>
      <c r="BQ229" s="197"/>
      <c r="BR229" s="197"/>
      <c r="BS229" s="197"/>
      <c r="BT229" s="197"/>
    </row>
    <row r="230">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c r="AA230" s="197"/>
      <c r="AB230" s="197"/>
      <c r="AC230" s="197"/>
      <c r="AD230" s="197"/>
      <c r="AE230" s="197"/>
      <c r="AF230" s="197"/>
      <c r="AG230" s="197"/>
      <c r="AH230" s="197"/>
      <c r="AI230" s="197"/>
      <c r="AJ230" s="197"/>
      <c r="AK230" s="197"/>
      <c r="AL230" s="197"/>
      <c r="AM230" s="197"/>
      <c r="AN230" s="197"/>
      <c r="AO230" s="197"/>
      <c r="AP230" s="197"/>
      <c r="AQ230" s="197"/>
      <c r="AR230" s="197"/>
      <c r="AS230" s="197"/>
      <c r="AT230" s="197"/>
      <c r="AU230" s="197"/>
      <c r="AV230" s="197"/>
      <c r="AW230" s="197"/>
      <c r="AX230" s="197"/>
      <c r="AY230" s="197"/>
      <c r="AZ230" s="197"/>
      <c r="BA230" s="197"/>
      <c r="BB230" s="197"/>
      <c r="BC230" s="197"/>
      <c r="BD230" s="197"/>
      <c r="BE230" s="197"/>
      <c r="BF230" s="197"/>
      <c r="BG230" s="197"/>
      <c r="BH230" s="197"/>
      <c r="BI230" s="197"/>
      <c r="BJ230" s="197"/>
      <c r="BK230" s="197"/>
      <c r="BL230" s="197"/>
      <c r="BM230" s="197"/>
      <c r="BN230" s="197"/>
      <c r="BO230" s="197"/>
      <c r="BP230" s="197"/>
      <c r="BQ230" s="197"/>
      <c r="BR230" s="197"/>
      <c r="BS230" s="197"/>
      <c r="BT230" s="197"/>
    </row>
    <row r="231">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c r="BB231" s="197"/>
      <c r="BC231" s="197"/>
      <c r="BD231" s="197"/>
      <c r="BE231" s="197"/>
      <c r="BF231" s="197"/>
      <c r="BG231" s="197"/>
      <c r="BH231" s="197"/>
      <c r="BI231" s="197"/>
      <c r="BJ231" s="197"/>
      <c r="BK231" s="197"/>
      <c r="BL231" s="197"/>
      <c r="BM231" s="197"/>
      <c r="BN231" s="197"/>
      <c r="BO231" s="197"/>
      <c r="BP231" s="197"/>
      <c r="BQ231" s="197"/>
      <c r="BR231" s="197"/>
      <c r="BS231" s="197"/>
      <c r="BT231" s="197"/>
    </row>
    <row r="232">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c r="AA232" s="197"/>
      <c r="AB232" s="197"/>
      <c r="AC232" s="197"/>
      <c r="AD232" s="197"/>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7"/>
      <c r="BD232" s="197"/>
      <c r="BE232" s="197"/>
      <c r="BF232" s="197"/>
      <c r="BG232" s="197"/>
      <c r="BH232" s="197"/>
      <c r="BI232" s="197"/>
      <c r="BJ232" s="197"/>
      <c r="BK232" s="197"/>
      <c r="BL232" s="197"/>
      <c r="BM232" s="197"/>
      <c r="BN232" s="197"/>
      <c r="BO232" s="197"/>
      <c r="BP232" s="197"/>
      <c r="BQ232" s="197"/>
      <c r="BR232" s="197"/>
      <c r="BS232" s="197"/>
      <c r="BT232" s="197"/>
    </row>
    <row r="233">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c r="AA233" s="197"/>
      <c r="AB233" s="197"/>
      <c r="AC233" s="197"/>
      <c r="AD233" s="197"/>
      <c r="AE233" s="197"/>
      <c r="AF233" s="197"/>
      <c r="AG233" s="197"/>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c r="BB233" s="197"/>
      <c r="BC233" s="197"/>
      <c r="BD233" s="197"/>
      <c r="BE233" s="197"/>
      <c r="BF233" s="197"/>
      <c r="BG233" s="197"/>
      <c r="BH233" s="197"/>
      <c r="BI233" s="197"/>
      <c r="BJ233" s="197"/>
      <c r="BK233" s="197"/>
      <c r="BL233" s="197"/>
      <c r="BM233" s="197"/>
      <c r="BN233" s="197"/>
      <c r="BO233" s="197"/>
      <c r="BP233" s="197"/>
      <c r="BQ233" s="197"/>
      <c r="BR233" s="197"/>
      <c r="BS233" s="197"/>
      <c r="BT233" s="197"/>
    </row>
    <row r="234">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c r="AA234" s="197"/>
      <c r="AB234" s="197"/>
      <c r="AC234" s="197"/>
      <c r="AD234" s="197"/>
      <c r="AE234" s="197"/>
      <c r="AF234" s="197"/>
      <c r="AG234" s="197"/>
      <c r="AH234" s="197"/>
      <c r="AI234" s="197"/>
      <c r="AJ234" s="197"/>
      <c r="AK234" s="197"/>
      <c r="AL234" s="197"/>
      <c r="AM234" s="197"/>
      <c r="AN234" s="197"/>
      <c r="AO234" s="197"/>
      <c r="AP234" s="197"/>
      <c r="AQ234" s="197"/>
      <c r="AR234" s="197"/>
      <c r="AS234" s="197"/>
      <c r="AT234" s="197"/>
      <c r="AU234" s="197"/>
      <c r="AV234" s="197"/>
      <c r="AW234" s="197"/>
      <c r="AX234" s="197"/>
      <c r="AY234" s="197"/>
      <c r="AZ234" s="197"/>
      <c r="BA234" s="197"/>
      <c r="BB234" s="197"/>
      <c r="BC234" s="197"/>
      <c r="BD234" s="197"/>
      <c r="BE234" s="197"/>
      <c r="BF234" s="197"/>
      <c r="BG234" s="197"/>
      <c r="BH234" s="197"/>
      <c r="BI234" s="197"/>
      <c r="BJ234" s="197"/>
      <c r="BK234" s="197"/>
      <c r="BL234" s="197"/>
      <c r="BM234" s="197"/>
      <c r="BN234" s="197"/>
      <c r="BO234" s="197"/>
      <c r="BP234" s="197"/>
      <c r="BQ234" s="197"/>
      <c r="BR234" s="197"/>
      <c r="BS234" s="197"/>
      <c r="BT234" s="197"/>
    </row>
    <row r="235">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c r="AA235" s="197"/>
      <c r="AB235" s="197"/>
      <c r="AC235" s="197"/>
      <c r="AD235" s="197"/>
      <c r="AE235" s="197"/>
      <c r="AF235" s="197"/>
      <c r="AG235" s="197"/>
      <c r="AH235" s="197"/>
      <c r="AI235" s="197"/>
      <c r="AJ235" s="197"/>
      <c r="AK235" s="197"/>
      <c r="AL235" s="197"/>
      <c r="AM235" s="197"/>
      <c r="AN235" s="197"/>
      <c r="AO235" s="197"/>
      <c r="AP235" s="197"/>
      <c r="AQ235" s="197"/>
      <c r="AR235" s="197"/>
      <c r="AS235" s="197"/>
      <c r="AT235" s="197"/>
      <c r="AU235" s="197"/>
      <c r="AV235" s="197"/>
      <c r="AW235" s="197"/>
      <c r="AX235" s="197"/>
      <c r="AY235" s="197"/>
      <c r="AZ235" s="197"/>
      <c r="BA235" s="197"/>
      <c r="BB235" s="197"/>
      <c r="BC235" s="197"/>
      <c r="BD235" s="197"/>
      <c r="BE235" s="197"/>
      <c r="BF235" s="197"/>
      <c r="BG235" s="197"/>
      <c r="BH235" s="197"/>
      <c r="BI235" s="197"/>
      <c r="BJ235" s="197"/>
      <c r="BK235" s="197"/>
      <c r="BL235" s="197"/>
      <c r="BM235" s="197"/>
      <c r="BN235" s="197"/>
      <c r="BO235" s="197"/>
      <c r="BP235" s="197"/>
      <c r="BQ235" s="197"/>
      <c r="BR235" s="197"/>
      <c r="BS235" s="197"/>
      <c r="BT235" s="197"/>
    </row>
    <row r="236">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c r="AA236" s="197"/>
      <c r="AB236" s="197"/>
      <c r="AC236" s="197"/>
      <c r="AD236" s="197"/>
      <c r="AE236" s="197"/>
      <c r="AF236" s="197"/>
      <c r="AG236" s="197"/>
      <c r="AH236" s="197"/>
      <c r="AI236" s="197"/>
      <c r="AJ236" s="197"/>
      <c r="AK236" s="197"/>
      <c r="AL236" s="197"/>
      <c r="AM236" s="197"/>
      <c r="AN236" s="197"/>
      <c r="AO236" s="197"/>
      <c r="AP236" s="197"/>
      <c r="AQ236" s="197"/>
      <c r="AR236" s="197"/>
      <c r="AS236" s="197"/>
      <c r="AT236" s="197"/>
      <c r="AU236" s="197"/>
      <c r="AV236" s="197"/>
      <c r="AW236" s="197"/>
      <c r="AX236" s="197"/>
      <c r="AY236" s="197"/>
      <c r="AZ236" s="197"/>
      <c r="BA236" s="197"/>
      <c r="BB236" s="197"/>
      <c r="BC236" s="197"/>
      <c r="BD236" s="197"/>
      <c r="BE236" s="197"/>
      <c r="BF236" s="197"/>
      <c r="BG236" s="197"/>
      <c r="BH236" s="197"/>
      <c r="BI236" s="197"/>
      <c r="BJ236" s="197"/>
      <c r="BK236" s="197"/>
      <c r="BL236" s="197"/>
      <c r="BM236" s="197"/>
      <c r="BN236" s="197"/>
      <c r="BO236" s="197"/>
      <c r="BP236" s="197"/>
      <c r="BQ236" s="197"/>
      <c r="BR236" s="197"/>
      <c r="BS236" s="197"/>
      <c r="BT236" s="197"/>
    </row>
    <row r="237">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c r="AA237" s="197"/>
      <c r="AB237" s="197"/>
      <c r="AC237" s="197"/>
      <c r="AD237" s="197"/>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7"/>
      <c r="BD237" s="197"/>
      <c r="BE237" s="197"/>
      <c r="BF237" s="197"/>
      <c r="BG237" s="197"/>
      <c r="BH237" s="197"/>
      <c r="BI237" s="197"/>
      <c r="BJ237" s="197"/>
      <c r="BK237" s="197"/>
      <c r="BL237" s="197"/>
      <c r="BM237" s="197"/>
      <c r="BN237" s="197"/>
      <c r="BO237" s="197"/>
      <c r="BP237" s="197"/>
      <c r="BQ237" s="197"/>
      <c r="BR237" s="197"/>
      <c r="BS237" s="197"/>
      <c r="BT237" s="197"/>
    </row>
    <row r="238">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c r="AA238" s="197"/>
      <c r="AB238" s="197"/>
      <c r="AC238" s="197"/>
      <c r="AD238" s="197"/>
      <c r="AE238" s="197"/>
      <c r="AF238" s="197"/>
      <c r="AG238" s="197"/>
      <c r="AH238" s="197"/>
      <c r="AI238" s="197"/>
      <c r="AJ238" s="197"/>
      <c r="AK238" s="197"/>
      <c r="AL238" s="197"/>
      <c r="AM238" s="197"/>
      <c r="AN238" s="197"/>
      <c r="AO238" s="197"/>
      <c r="AP238" s="197"/>
      <c r="AQ238" s="197"/>
      <c r="AR238" s="197"/>
      <c r="AS238" s="197"/>
      <c r="AT238" s="197"/>
      <c r="AU238" s="197"/>
      <c r="AV238" s="197"/>
      <c r="AW238" s="197"/>
      <c r="AX238" s="197"/>
      <c r="AY238" s="197"/>
      <c r="AZ238" s="197"/>
      <c r="BA238" s="197"/>
      <c r="BB238" s="197"/>
      <c r="BC238" s="197"/>
      <c r="BD238" s="197"/>
      <c r="BE238" s="197"/>
      <c r="BF238" s="197"/>
      <c r="BG238" s="197"/>
      <c r="BH238" s="197"/>
      <c r="BI238" s="197"/>
      <c r="BJ238" s="197"/>
      <c r="BK238" s="197"/>
      <c r="BL238" s="197"/>
      <c r="BM238" s="197"/>
      <c r="BN238" s="197"/>
      <c r="BO238" s="197"/>
      <c r="BP238" s="197"/>
      <c r="BQ238" s="197"/>
      <c r="BR238" s="197"/>
      <c r="BS238" s="197"/>
      <c r="BT238" s="197"/>
    </row>
    <row r="239">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c r="AA239" s="197"/>
      <c r="AB239" s="197"/>
      <c r="AC239" s="197"/>
      <c r="AD239" s="197"/>
      <c r="AE239" s="197"/>
      <c r="AF239" s="197"/>
      <c r="AG239" s="197"/>
      <c r="AH239" s="197"/>
      <c r="AI239" s="197"/>
      <c r="AJ239" s="197"/>
      <c r="AK239" s="197"/>
      <c r="AL239" s="197"/>
      <c r="AM239" s="197"/>
      <c r="AN239" s="197"/>
      <c r="AO239" s="197"/>
      <c r="AP239" s="197"/>
      <c r="AQ239" s="197"/>
      <c r="AR239" s="197"/>
      <c r="AS239" s="197"/>
      <c r="AT239" s="197"/>
      <c r="AU239" s="197"/>
      <c r="AV239" s="197"/>
      <c r="AW239" s="197"/>
      <c r="AX239" s="197"/>
      <c r="AY239" s="197"/>
      <c r="AZ239" s="197"/>
      <c r="BA239" s="197"/>
      <c r="BB239" s="197"/>
      <c r="BC239" s="197"/>
      <c r="BD239" s="197"/>
      <c r="BE239" s="197"/>
      <c r="BF239" s="197"/>
      <c r="BG239" s="197"/>
      <c r="BH239" s="197"/>
      <c r="BI239" s="197"/>
      <c r="BJ239" s="197"/>
      <c r="BK239" s="197"/>
      <c r="BL239" s="197"/>
      <c r="BM239" s="197"/>
      <c r="BN239" s="197"/>
      <c r="BO239" s="197"/>
      <c r="BP239" s="197"/>
      <c r="BQ239" s="197"/>
      <c r="BR239" s="197"/>
      <c r="BS239" s="197"/>
      <c r="BT239" s="197"/>
    </row>
    <row r="240">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c r="AA240" s="197"/>
      <c r="AB240" s="197"/>
      <c r="AC240" s="197"/>
      <c r="AD240" s="197"/>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7"/>
      <c r="BD240" s="197"/>
      <c r="BE240" s="197"/>
      <c r="BF240" s="197"/>
      <c r="BG240" s="197"/>
      <c r="BH240" s="197"/>
      <c r="BI240" s="197"/>
      <c r="BJ240" s="197"/>
      <c r="BK240" s="197"/>
      <c r="BL240" s="197"/>
      <c r="BM240" s="197"/>
      <c r="BN240" s="197"/>
      <c r="BO240" s="197"/>
      <c r="BP240" s="197"/>
      <c r="BQ240" s="197"/>
      <c r="BR240" s="197"/>
      <c r="BS240" s="197"/>
      <c r="BT240" s="197"/>
    </row>
    <row r="241">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c r="AA241" s="197"/>
      <c r="AB241" s="197"/>
      <c r="AC241" s="197"/>
      <c r="AD241" s="197"/>
      <c r="AE241" s="197"/>
      <c r="AF241" s="197"/>
      <c r="AG241" s="197"/>
      <c r="AH241" s="197"/>
      <c r="AI241" s="197"/>
      <c r="AJ241" s="197"/>
      <c r="AK241" s="197"/>
      <c r="AL241" s="197"/>
      <c r="AM241" s="197"/>
      <c r="AN241" s="197"/>
      <c r="AO241" s="197"/>
      <c r="AP241" s="197"/>
      <c r="AQ241" s="197"/>
      <c r="AR241" s="197"/>
      <c r="AS241" s="197"/>
      <c r="AT241" s="197"/>
      <c r="AU241" s="197"/>
      <c r="AV241" s="197"/>
      <c r="AW241" s="197"/>
      <c r="AX241" s="197"/>
      <c r="AY241" s="197"/>
      <c r="AZ241" s="197"/>
      <c r="BA241" s="197"/>
      <c r="BB241" s="197"/>
      <c r="BC241" s="197"/>
      <c r="BD241" s="197"/>
      <c r="BE241" s="197"/>
      <c r="BF241" s="197"/>
      <c r="BG241" s="197"/>
      <c r="BH241" s="197"/>
      <c r="BI241" s="197"/>
      <c r="BJ241" s="197"/>
      <c r="BK241" s="197"/>
      <c r="BL241" s="197"/>
      <c r="BM241" s="197"/>
      <c r="BN241" s="197"/>
      <c r="BO241" s="197"/>
      <c r="BP241" s="197"/>
      <c r="BQ241" s="197"/>
      <c r="BR241" s="197"/>
      <c r="BS241" s="197"/>
      <c r="BT241" s="197"/>
    </row>
    <row r="242">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c r="AA242" s="197"/>
      <c r="AB242" s="197"/>
      <c r="AC242" s="197"/>
      <c r="AD242" s="197"/>
      <c r="AE242" s="197"/>
      <c r="AF242" s="197"/>
      <c r="AG242" s="197"/>
      <c r="AH242" s="197"/>
      <c r="AI242" s="197"/>
      <c r="AJ242" s="197"/>
      <c r="AK242" s="197"/>
      <c r="AL242" s="197"/>
      <c r="AM242" s="197"/>
      <c r="AN242" s="197"/>
      <c r="AO242" s="197"/>
      <c r="AP242" s="197"/>
      <c r="AQ242" s="197"/>
      <c r="AR242" s="197"/>
      <c r="AS242" s="197"/>
      <c r="AT242" s="197"/>
      <c r="AU242" s="197"/>
      <c r="AV242" s="197"/>
      <c r="AW242" s="197"/>
      <c r="AX242" s="197"/>
      <c r="AY242" s="197"/>
      <c r="AZ242" s="197"/>
      <c r="BA242" s="197"/>
      <c r="BB242" s="197"/>
      <c r="BC242" s="197"/>
      <c r="BD242" s="197"/>
      <c r="BE242" s="197"/>
      <c r="BF242" s="197"/>
      <c r="BG242" s="197"/>
      <c r="BH242" s="197"/>
      <c r="BI242" s="197"/>
      <c r="BJ242" s="197"/>
      <c r="BK242" s="197"/>
      <c r="BL242" s="197"/>
      <c r="BM242" s="197"/>
      <c r="BN242" s="197"/>
      <c r="BO242" s="197"/>
      <c r="BP242" s="197"/>
      <c r="BQ242" s="197"/>
      <c r="BR242" s="197"/>
      <c r="BS242" s="197"/>
      <c r="BT242" s="197"/>
    </row>
    <row r="243">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c r="AA243" s="197"/>
      <c r="AB243" s="197"/>
      <c r="AC243" s="197"/>
      <c r="AD243" s="197"/>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7"/>
      <c r="BD243" s="197"/>
      <c r="BE243" s="197"/>
      <c r="BF243" s="197"/>
      <c r="BG243" s="197"/>
      <c r="BH243" s="197"/>
      <c r="BI243" s="197"/>
      <c r="BJ243" s="197"/>
      <c r="BK243" s="197"/>
      <c r="BL243" s="197"/>
      <c r="BM243" s="197"/>
      <c r="BN243" s="197"/>
      <c r="BO243" s="197"/>
      <c r="BP243" s="197"/>
      <c r="BQ243" s="197"/>
      <c r="BR243" s="197"/>
      <c r="BS243" s="197"/>
      <c r="BT243" s="197"/>
    </row>
    <row r="244">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c r="AA244" s="197"/>
      <c r="AB244" s="197"/>
      <c r="AC244" s="197"/>
      <c r="AD244" s="197"/>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7"/>
      <c r="BD244" s="197"/>
      <c r="BE244" s="197"/>
      <c r="BF244" s="197"/>
      <c r="BG244" s="197"/>
      <c r="BH244" s="197"/>
      <c r="BI244" s="197"/>
      <c r="BJ244" s="197"/>
      <c r="BK244" s="197"/>
      <c r="BL244" s="197"/>
      <c r="BM244" s="197"/>
      <c r="BN244" s="197"/>
      <c r="BO244" s="197"/>
      <c r="BP244" s="197"/>
      <c r="BQ244" s="197"/>
      <c r="BR244" s="197"/>
      <c r="BS244" s="197"/>
      <c r="BT244" s="197"/>
    </row>
    <row r="245">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c r="AA245" s="197"/>
      <c r="AB245" s="197"/>
      <c r="AC245" s="197"/>
      <c r="AD245" s="197"/>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7"/>
      <c r="BD245" s="197"/>
      <c r="BE245" s="197"/>
      <c r="BF245" s="197"/>
      <c r="BG245" s="197"/>
      <c r="BH245" s="197"/>
      <c r="BI245" s="197"/>
      <c r="BJ245" s="197"/>
      <c r="BK245" s="197"/>
      <c r="BL245" s="197"/>
      <c r="BM245" s="197"/>
      <c r="BN245" s="197"/>
      <c r="BO245" s="197"/>
      <c r="BP245" s="197"/>
      <c r="BQ245" s="197"/>
      <c r="BR245" s="197"/>
      <c r="BS245" s="197"/>
      <c r="BT245" s="197"/>
    </row>
    <row r="246">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c r="AA246" s="197"/>
      <c r="AB246" s="197"/>
      <c r="AC246" s="197"/>
      <c r="AD246" s="197"/>
      <c r="AE246" s="197"/>
      <c r="AF246" s="197"/>
      <c r="AG246" s="197"/>
      <c r="AH246" s="197"/>
      <c r="AI246" s="197"/>
      <c r="AJ246" s="197"/>
      <c r="AK246" s="197"/>
      <c r="AL246" s="197"/>
      <c r="AM246" s="197"/>
      <c r="AN246" s="197"/>
      <c r="AO246" s="197"/>
      <c r="AP246" s="197"/>
      <c r="AQ246" s="197"/>
      <c r="AR246" s="197"/>
      <c r="AS246" s="197"/>
      <c r="AT246" s="197"/>
      <c r="AU246" s="197"/>
      <c r="AV246" s="197"/>
      <c r="AW246" s="197"/>
      <c r="AX246" s="197"/>
      <c r="AY246" s="197"/>
      <c r="AZ246" s="197"/>
      <c r="BA246" s="197"/>
      <c r="BB246" s="197"/>
      <c r="BC246" s="197"/>
      <c r="BD246" s="197"/>
      <c r="BE246" s="197"/>
      <c r="BF246" s="197"/>
      <c r="BG246" s="197"/>
      <c r="BH246" s="197"/>
      <c r="BI246" s="197"/>
      <c r="BJ246" s="197"/>
      <c r="BK246" s="197"/>
      <c r="BL246" s="197"/>
      <c r="BM246" s="197"/>
      <c r="BN246" s="197"/>
      <c r="BO246" s="197"/>
      <c r="BP246" s="197"/>
      <c r="BQ246" s="197"/>
      <c r="BR246" s="197"/>
      <c r="BS246" s="197"/>
      <c r="BT246" s="197"/>
    </row>
    <row r="247">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7"/>
      <c r="BD247" s="197"/>
      <c r="BE247" s="197"/>
      <c r="BF247" s="197"/>
      <c r="BG247" s="197"/>
      <c r="BH247" s="197"/>
      <c r="BI247" s="197"/>
      <c r="BJ247" s="197"/>
      <c r="BK247" s="197"/>
      <c r="BL247" s="197"/>
      <c r="BM247" s="197"/>
      <c r="BN247" s="197"/>
      <c r="BO247" s="197"/>
      <c r="BP247" s="197"/>
      <c r="BQ247" s="197"/>
      <c r="BR247" s="197"/>
      <c r="BS247" s="197"/>
      <c r="BT247" s="197"/>
    </row>
    <row r="248">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c r="AA248" s="197"/>
      <c r="AB248" s="197"/>
      <c r="AC248" s="197"/>
      <c r="AD248" s="197"/>
      <c r="AE248" s="197"/>
      <c r="AF248" s="197"/>
      <c r="AG248" s="197"/>
      <c r="AH248" s="197"/>
      <c r="AI248" s="197"/>
      <c r="AJ248" s="197"/>
      <c r="AK248" s="197"/>
      <c r="AL248" s="197"/>
      <c r="AM248" s="197"/>
      <c r="AN248" s="197"/>
      <c r="AO248" s="197"/>
      <c r="AP248" s="197"/>
      <c r="AQ248" s="197"/>
      <c r="AR248" s="197"/>
      <c r="AS248" s="197"/>
      <c r="AT248" s="197"/>
      <c r="AU248" s="197"/>
      <c r="AV248" s="197"/>
      <c r="AW248" s="197"/>
      <c r="AX248" s="197"/>
      <c r="AY248" s="197"/>
      <c r="AZ248" s="197"/>
      <c r="BA248" s="197"/>
      <c r="BB248" s="197"/>
      <c r="BC248" s="197"/>
      <c r="BD248" s="197"/>
      <c r="BE248" s="197"/>
      <c r="BF248" s="197"/>
      <c r="BG248" s="197"/>
      <c r="BH248" s="197"/>
      <c r="BI248" s="197"/>
      <c r="BJ248" s="197"/>
      <c r="BK248" s="197"/>
      <c r="BL248" s="197"/>
      <c r="BM248" s="197"/>
      <c r="BN248" s="197"/>
      <c r="BO248" s="197"/>
      <c r="BP248" s="197"/>
      <c r="BQ248" s="197"/>
      <c r="BR248" s="197"/>
      <c r="BS248" s="197"/>
      <c r="BT248" s="197"/>
    </row>
    <row r="249">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c r="AA249" s="197"/>
      <c r="AB249" s="197"/>
      <c r="AC249" s="197"/>
      <c r="AD249" s="197"/>
      <c r="AE249" s="197"/>
      <c r="AF249" s="197"/>
      <c r="AG249" s="197"/>
      <c r="AH249" s="197"/>
      <c r="AI249" s="197"/>
      <c r="AJ249" s="197"/>
      <c r="AK249" s="197"/>
      <c r="AL249" s="197"/>
      <c r="AM249" s="197"/>
      <c r="AN249" s="197"/>
      <c r="AO249" s="197"/>
      <c r="AP249" s="197"/>
      <c r="AQ249" s="197"/>
      <c r="AR249" s="197"/>
      <c r="AS249" s="197"/>
      <c r="AT249" s="197"/>
      <c r="AU249" s="197"/>
      <c r="AV249" s="197"/>
      <c r="AW249" s="197"/>
      <c r="AX249" s="197"/>
      <c r="AY249" s="197"/>
      <c r="AZ249" s="197"/>
      <c r="BA249" s="197"/>
      <c r="BB249" s="197"/>
      <c r="BC249" s="197"/>
      <c r="BD249" s="197"/>
      <c r="BE249" s="197"/>
      <c r="BF249" s="197"/>
      <c r="BG249" s="197"/>
      <c r="BH249" s="197"/>
      <c r="BI249" s="197"/>
      <c r="BJ249" s="197"/>
      <c r="BK249" s="197"/>
      <c r="BL249" s="197"/>
      <c r="BM249" s="197"/>
      <c r="BN249" s="197"/>
      <c r="BO249" s="197"/>
      <c r="BP249" s="197"/>
      <c r="BQ249" s="197"/>
      <c r="BR249" s="197"/>
      <c r="BS249" s="197"/>
      <c r="BT249" s="197"/>
    </row>
    <row r="250">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c r="AA250" s="197"/>
      <c r="AB250" s="197"/>
      <c r="AC250" s="197"/>
      <c r="AD250" s="197"/>
      <c r="AE250" s="197"/>
      <c r="AF250" s="197"/>
      <c r="AG250" s="197"/>
      <c r="AH250" s="197"/>
      <c r="AI250" s="197"/>
      <c r="AJ250" s="197"/>
      <c r="AK250" s="197"/>
      <c r="AL250" s="197"/>
      <c r="AM250" s="197"/>
      <c r="AN250" s="197"/>
      <c r="AO250" s="197"/>
      <c r="AP250" s="197"/>
      <c r="AQ250" s="197"/>
      <c r="AR250" s="197"/>
      <c r="AS250" s="197"/>
      <c r="AT250" s="197"/>
      <c r="AU250" s="197"/>
      <c r="AV250" s="197"/>
      <c r="AW250" s="197"/>
      <c r="AX250" s="197"/>
      <c r="AY250" s="197"/>
      <c r="AZ250" s="197"/>
      <c r="BA250" s="197"/>
      <c r="BB250" s="197"/>
      <c r="BC250" s="197"/>
      <c r="BD250" s="197"/>
      <c r="BE250" s="197"/>
      <c r="BF250" s="197"/>
      <c r="BG250" s="197"/>
      <c r="BH250" s="197"/>
      <c r="BI250" s="197"/>
      <c r="BJ250" s="197"/>
      <c r="BK250" s="197"/>
      <c r="BL250" s="197"/>
      <c r="BM250" s="197"/>
      <c r="BN250" s="197"/>
      <c r="BO250" s="197"/>
      <c r="BP250" s="197"/>
      <c r="BQ250" s="197"/>
      <c r="BR250" s="197"/>
      <c r="BS250" s="197"/>
      <c r="BT250" s="197"/>
    </row>
    <row r="251">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c r="AA251" s="197"/>
      <c r="AB251" s="197"/>
      <c r="AC251" s="197"/>
      <c r="AD251" s="197"/>
      <c r="AE251" s="197"/>
      <c r="AF251" s="197"/>
      <c r="AG251" s="197"/>
      <c r="AH251" s="197"/>
      <c r="AI251" s="197"/>
      <c r="AJ251" s="197"/>
      <c r="AK251" s="197"/>
      <c r="AL251" s="197"/>
      <c r="AM251" s="197"/>
      <c r="AN251" s="197"/>
      <c r="AO251" s="197"/>
      <c r="AP251" s="197"/>
      <c r="AQ251" s="197"/>
      <c r="AR251" s="197"/>
      <c r="AS251" s="197"/>
      <c r="AT251" s="197"/>
      <c r="AU251" s="197"/>
      <c r="AV251" s="197"/>
      <c r="AW251" s="197"/>
      <c r="AX251" s="197"/>
      <c r="AY251" s="197"/>
      <c r="AZ251" s="197"/>
      <c r="BA251" s="197"/>
      <c r="BB251" s="197"/>
      <c r="BC251" s="197"/>
      <c r="BD251" s="197"/>
      <c r="BE251" s="197"/>
      <c r="BF251" s="197"/>
      <c r="BG251" s="197"/>
      <c r="BH251" s="197"/>
      <c r="BI251" s="197"/>
      <c r="BJ251" s="197"/>
      <c r="BK251" s="197"/>
      <c r="BL251" s="197"/>
      <c r="BM251" s="197"/>
      <c r="BN251" s="197"/>
      <c r="BO251" s="197"/>
      <c r="BP251" s="197"/>
      <c r="BQ251" s="197"/>
      <c r="BR251" s="197"/>
      <c r="BS251" s="197"/>
      <c r="BT251" s="197"/>
    </row>
    <row r="252">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7"/>
      <c r="AV252" s="197"/>
      <c r="AW252" s="197"/>
      <c r="AX252" s="197"/>
      <c r="AY252" s="197"/>
      <c r="AZ252" s="197"/>
      <c r="BA252" s="197"/>
      <c r="BB252" s="197"/>
      <c r="BC252" s="197"/>
      <c r="BD252" s="197"/>
      <c r="BE252" s="197"/>
      <c r="BF252" s="197"/>
      <c r="BG252" s="197"/>
      <c r="BH252" s="197"/>
      <c r="BI252" s="197"/>
      <c r="BJ252" s="197"/>
      <c r="BK252" s="197"/>
      <c r="BL252" s="197"/>
      <c r="BM252" s="197"/>
      <c r="BN252" s="197"/>
      <c r="BO252" s="197"/>
      <c r="BP252" s="197"/>
      <c r="BQ252" s="197"/>
      <c r="BR252" s="197"/>
      <c r="BS252" s="197"/>
      <c r="BT252" s="197"/>
    </row>
    <row r="253">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c r="AA253" s="197"/>
      <c r="AB253" s="197"/>
      <c r="AC253" s="197"/>
      <c r="AD253" s="197"/>
      <c r="AE253" s="197"/>
      <c r="AF253" s="197"/>
      <c r="AG253" s="197"/>
      <c r="AH253" s="197"/>
      <c r="AI253" s="197"/>
      <c r="AJ253" s="197"/>
      <c r="AK253" s="197"/>
      <c r="AL253" s="197"/>
      <c r="AM253" s="197"/>
      <c r="AN253" s="197"/>
      <c r="AO253" s="197"/>
      <c r="AP253" s="197"/>
      <c r="AQ253" s="197"/>
      <c r="AR253" s="197"/>
      <c r="AS253" s="197"/>
      <c r="AT253" s="197"/>
      <c r="AU253" s="197"/>
      <c r="AV253" s="197"/>
      <c r="AW253" s="197"/>
      <c r="AX253" s="197"/>
      <c r="AY253" s="197"/>
      <c r="AZ253" s="197"/>
      <c r="BA253" s="197"/>
      <c r="BB253" s="197"/>
      <c r="BC253" s="197"/>
      <c r="BD253" s="197"/>
      <c r="BE253" s="197"/>
      <c r="BF253" s="197"/>
      <c r="BG253" s="197"/>
      <c r="BH253" s="197"/>
      <c r="BI253" s="197"/>
      <c r="BJ253" s="197"/>
      <c r="BK253" s="197"/>
      <c r="BL253" s="197"/>
      <c r="BM253" s="197"/>
      <c r="BN253" s="197"/>
      <c r="BO253" s="197"/>
      <c r="BP253" s="197"/>
      <c r="BQ253" s="197"/>
      <c r="BR253" s="197"/>
      <c r="BS253" s="197"/>
      <c r="BT253" s="197"/>
    </row>
    <row r="254">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c r="AA254" s="197"/>
      <c r="AB254" s="197"/>
      <c r="AC254" s="197"/>
      <c r="AD254" s="197"/>
      <c r="AE254" s="197"/>
      <c r="AF254" s="197"/>
      <c r="AG254" s="197"/>
      <c r="AH254" s="197"/>
      <c r="AI254" s="197"/>
      <c r="AJ254" s="197"/>
      <c r="AK254" s="197"/>
      <c r="AL254" s="197"/>
      <c r="AM254" s="197"/>
      <c r="AN254" s="197"/>
      <c r="AO254" s="197"/>
      <c r="AP254" s="197"/>
      <c r="AQ254" s="197"/>
      <c r="AR254" s="197"/>
      <c r="AS254" s="197"/>
      <c r="AT254" s="197"/>
      <c r="AU254" s="197"/>
      <c r="AV254" s="197"/>
      <c r="AW254" s="197"/>
      <c r="AX254" s="197"/>
      <c r="AY254" s="197"/>
      <c r="AZ254" s="197"/>
      <c r="BA254" s="197"/>
      <c r="BB254" s="197"/>
      <c r="BC254" s="197"/>
      <c r="BD254" s="197"/>
      <c r="BE254" s="197"/>
      <c r="BF254" s="197"/>
      <c r="BG254" s="197"/>
      <c r="BH254" s="197"/>
      <c r="BI254" s="197"/>
      <c r="BJ254" s="197"/>
      <c r="BK254" s="197"/>
      <c r="BL254" s="197"/>
      <c r="BM254" s="197"/>
      <c r="BN254" s="197"/>
      <c r="BO254" s="197"/>
      <c r="BP254" s="197"/>
      <c r="BQ254" s="197"/>
      <c r="BR254" s="197"/>
      <c r="BS254" s="197"/>
      <c r="BT254" s="197"/>
    </row>
    <row r="255">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c r="AA255" s="197"/>
      <c r="AB255" s="197"/>
      <c r="AC255" s="197"/>
      <c r="AD255" s="197"/>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7"/>
      <c r="BD255" s="197"/>
      <c r="BE255" s="197"/>
      <c r="BF255" s="197"/>
      <c r="BG255" s="197"/>
      <c r="BH255" s="197"/>
      <c r="BI255" s="197"/>
      <c r="BJ255" s="197"/>
      <c r="BK255" s="197"/>
      <c r="BL255" s="197"/>
      <c r="BM255" s="197"/>
      <c r="BN255" s="197"/>
      <c r="BO255" s="197"/>
      <c r="BP255" s="197"/>
      <c r="BQ255" s="197"/>
      <c r="BR255" s="197"/>
      <c r="BS255" s="197"/>
      <c r="BT255" s="197"/>
    </row>
    <row r="256">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c r="AA256" s="197"/>
      <c r="AB256" s="197"/>
      <c r="AC256" s="197"/>
      <c r="AD256" s="197"/>
      <c r="AE256" s="197"/>
      <c r="AF256" s="197"/>
      <c r="AG256" s="197"/>
      <c r="AH256" s="197"/>
      <c r="AI256" s="197"/>
      <c r="AJ256" s="197"/>
      <c r="AK256" s="197"/>
      <c r="AL256" s="197"/>
      <c r="AM256" s="197"/>
      <c r="AN256" s="197"/>
      <c r="AO256" s="197"/>
      <c r="AP256" s="197"/>
      <c r="AQ256" s="197"/>
      <c r="AR256" s="197"/>
      <c r="AS256" s="197"/>
      <c r="AT256" s="197"/>
      <c r="AU256" s="197"/>
      <c r="AV256" s="197"/>
      <c r="AW256" s="197"/>
      <c r="AX256" s="197"/>
      <c r="AY256" s="197"/>
      <c r="AZ256" s="197"/>
      <c r="BA256" s="197"/>
      <c r="BB256" s="197"/>
      <c r="BC256" s="197"/>
      <c r="BD256" s="197"/>
      <c r="BE256" s="197"/>
      <c r="BF256" s="197"/>
      <c r="BG256" s="197"/>
      <c r="BH256" s="197"/>
      <c r="BI256" s="197"/>
      <c r="BJ256" s="197"/>
      <c r="BK256" s="197"/>
      <c r="BL256" s="197"/>
      <c r="BM256" s="197"/>
      <c r="BN256" s="197"/>
      <c r="BO256" s="197"/>
      <c r="BP256" s="197"/>
      <c r="BQ256" s="197"/>
      <c r="BR256" s="197"/>
      <c r="BS256" s="197"/>
      <c r="BT256" s="197"/>
    </row>
    <row r="257">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c r="AA257" s="197"/>
      <c r="AB257" s="197"/>
      <c r="AC257" s="197"/>
      <c r="AD257" s="197"/>
      <c r="AE257" s="197"/>
      <c r="AF257" s="197"/>
      <c r="AG257" s="197"/>
      <c r="AH257" s="197"/>
      <c r="AI257" s="197"/>
      <c r="AJ257" s="197"/>
      <c r="AK257" s="197"/>
      <c r="AL257" s="197"/>
      <c r="AM257" s="197"/>
      <c r="AN257" s="197"/>
      <c r="AO257" s="197"/>
      <c r="AP257" s="197"/>
      <c r="AQ257" s="197"/>
      <c r="AR257" s="197"/>
      <c r="AS257" s="197"/>
      <c r="AT257" s="197"/>
      <c r="AU257" s="197"/>
      <c r="AV257" s="197"/>
      <c r="AW257" s="197"/>
      <c r="AX257" s="197"/>
      <c r="AY257" s="197"/>
      <c r="AZ257" s="197"/>
      <c r="BA257" s="197"/>
      <c r="BB257" s="197"/>
      <c r="BC257" s="197"/>
      <c r="BD257" s="197"/>
      <c r="BE257" s="197"/>
      <c r="BF257" s="197"/>
      <c r="BG257" s="197"/>
      <c r="BH257" s="197"/>
      <c r="BI257" s="197"/>
      <c r="BJ257" s="197"/>
      <c r="BK257" s="197"/>
      <c r="BL257" s="197"/>
      <c r="BM257" s="197"/>
      <c r="BN257" s="197"/>
      <c r="BO257" s="197"/>
      <c r="BP257" s="197"/>
      <c r="BQ257" s="197"/>
      <c r="BR257" s="197"/>
      <c r="BS257" s="197"/>
      <c r="BT257" s="197"/>
    </row>
    <row r="258">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c r="AA258" s="197"/>
      <c r="AB258" s="197"/>
      <c r="AC258" s="197"/>
      <c r="AD258" s="197"/>
      <c r="AE258" s="197"/>
      <c r="AF258" s="197"/>
      <c r="AG258" s="197"/>
      <c r="AH258" s="197"/>
      <c r="AI258" s="197"/>
      <c r="AJ258" s="197"/>
      <c r="AK258" s="197"/>
      <c r="AL258" s="197"/>
      <c r="AM258" s="197"/>
      <c r="AN258" s="197"/>
      <c r="AO258" s="197"/>
      <c r="AP258" s="197"/>
      <c r="AQ258" s="197"/>
      <c r="AR258" s="197"/>
      <c r="AS258" s="197"/>
      <c r="AT258" s="197"/>
      <c r="AU258" s="197"/>
      <c r="AV258" s="197"/>
      <c r="AW258" s="197"/>
      <c r="AX258" s="197"/>
      <c r="AY258" s="197"/>
      <c r="AZ258" s="197"/>
      <c r="BA258" s="197"/>
      <c r="BB258" s="197"/>
      <c r="BC258" s="197"/>
      <c r="BD258" s="197"/>
      <c r="BE258" s="197"/>
      <c r="BF258" s="197"/>
      <c r="BG258" s="197"/>
      <c r="BH258" s="197"/>
      <c r="BI258" s="197"/>
      <c r="BJ258" s="197"/>
      <c r="BK258" s="197"/>
      <c r="BL258" s="197"/>
      <c r="BM258" s="197"/>
      <c r="BN258" s="197"/>
      <c r="BO258" s="197"/>
      <c r="BP258" s="197"/>
      <c r="BQ258" s="197"/>
      <c r="BR258" s="197"/>
      <c r="BS258" s="197"/>
      <c r="BT258" s="197"/>
    </row>
    <row r="259">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c r="AA259" s="197"/>
      <c r="AB259" s="197"/>
      <c r="AC259" s="197"/>
      <c r="AD259" s="197"/>
      <c r="AE259" s="197"/>
      <c r="AF259" s="197"/>
      <c r="AG259" s="197"/>
      <c r="AH259" s="197"/>
      <c r="AI259" s="197"/>
      <c r="AJ259" s="197"/>
      <c r="AK259" s="197"/>
      <c r="AL259" s="197"/>
      <c r="AM259" s="197"/>
      <c r="AN259" s="197"/>
      <c r="AO259" s="197"/>
      <c r="AP259" s="197"/>
      <c r="AQ259" s="197"/>
      <c r="AR259" s="197"/>
      <c r="AS259" s="197"/>
      <c r="AT259" s="197"/>
      <c r="AU259" s="197"/>
      <c r="AV259" s="197"/>
      <c r="AW259" s="197"/>
      <c r="AX259" s="197"/>
      <c r="AY259" s="197"/>
      <c r="AZ259" s="197"/>
      <c r="BA259" s="197"/>
      <c r="BB259" s="197"/>
      <c r="BC259" s="197"/>
      <c r="BD259" s="197"/>
      <c r="BE259" s="197"/>
      <c r="BF259" s="197"/>
      <c r="BG259" s="197"/>
      <c r="BH259" s="197"/>
      <c r="BI259" s="197"/>
      <c r="BJ259" s="197"/>
      <c r="BK259" s="197"/>
      <c r="BL259" s="197"/>
      <c r="BM259" s="197"/>
      <c r="BN259" s="197"/>
      <c r="BO259" s="197"/>
      <c r="BP259" s="197"/>
      <c r="BQ259" s="197"/>
      <c r="BR259" s="197"/>
      <c r="BS259" s="197"/>
      <c r="BT259" s="197"/>
    </row>
    <row r="260">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c r="AA260" s="197"/>
      <c r="AB260" s="197"/>
      <c r="AC260" s="197"/>
      <c r="AD260" s="197"/>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7"/>
      <c r="BD260" s="197"/>
      <c r="BE260" s="197"/>
      <c r="BF260" s="197"/>
      <c r="BG260" s="197"/>
      <c r="BH260" s="197"/>
      <c r="BI260" s="197"/>
      <c r="BJ260" s="197"/>
      <c r="BK260" s="197"/>
      <c r="BL260" s="197"/>
      <c r="BM260" s="197"/>
      <c r="BN260" s="197"/>
      <c r="BO260" s="197"/>
      <c r="BP260" s="197"/>
      <c r="BQ260" s="197"/>
      <c r="BR260" s="197"/>
      <c r="BS260" s="197"/>
      <c r="BT260" s="197"/>
    </row>
    <row r="261">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c r="AA261" s="197"/>
      <c r="AB261" s="197"/>
      <c r="AC261" s="197"/>
      <c r="AD261" s="197"/>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7"/>
      <c r="BD261" s="197"/>
      <c r="BE261" s="197"/>
      <c r="BF261" s="197"/>
      <c r="BG261" s="197"/>
      <c r="BH261" s="197"/>
      <c r="BI261" s="197"/>
      <c r="BJ261" s="197"/>
      <c r="BK261" s="197"/>
      <c r="BL261" s="197"/>
      <c r="BM261" s="197"/>
      <c r="BN261" s="197"/>
      <c r="BO261" s="197"/>
      <c r="BP261" s="197"/>
      <c r="BQ261" s="197"/>
      <c r="BR261" s="197"/>
      <c r="BS261" s="197"/>
      <c r="BT261" s="197"/>
    </row>
    <row r="262">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197"/>
      <c r="AU262" s="197"/>
      <c r="AV262" s="197"/>
      <c r="AW262" s="197"/>
      <c r="AX262" s="197"/>
      <c r="AY262" s="197"/>
      <c r="AZ262" s="197"/>
      <c r="BA262" s="197"/>
      <c r="BB262" s="197"/>
      <c r="BC262" s="197"/>
      <c r="BD262" s="197"/>
      <c r="BE262" s="197"/>
      <c r="BF262" s="197"/>
      <c r="BG262" s="197"/>
      <c r="BH262" s="197"/>
      <c r="BI262" s="197"/>
      <c r="BJ262" s="197"/>
      <c r="BK262" s="197"/>
      <c r="BL262" s="197"/>
      <c r="BM262" s="197"/>
      <c r="BN262" s="197"/>
      <c r="BO262" s="197"/>
      <c r="BP262" s="197"/>
      <c r="BQ262" s="197"/>
      <c r="BR262" s="197"/>
      <c r="BS262" s="197"/>
      <c r="BT262" s="197"/>
    </row>
    <row r="263">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7"/>
      <c r="BD263" s="197"/>
      <c r="BE263" s="197"/>
      <c r="BF263" s="197"/>
      <c r="BG263" s="197"/>
      <c r="BH263" s="197"/>
      <c r="BI263" s="197"/>
      <c r="BJ263" s="197"/>
      <c r="BK263" s="197"/>
      <c r="BL263" s="197"/>
      <c r="BM263" s="197"/>
      <c r="BN263" s="197"/>
      <c r="BO263" s="197"/>
      <c r="BP263" s="197"/>
      <c r="BQ263" s="197"/>
      <c r="BR263" s="197"/>
      <c r="BS263" s="197"/>
      <c r="BT263" s="197"/>
    </row>
    <row r="264">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7"/>
      <c r="BD264" s="197"/>
      <c r="BE264" s="197"/>
      <c r="BF264" s="197"/>
      <c r="BG264" s="197"/>
      <c r="BH264" s="197"/>
      <c r="BI264" s="197"/>
      <c r="BJ264" s="197"/>
      <c r="BK264" s="197"/>
      <c r="BL264" s="197"/>
      <c r="BM264" s="197"/>
      <c r="BN264" s="197"/>
      <c r="BO264" s="197"/>
      <c r="BP264" s="197"/>
      <c r="BQ264" s="197"/>
      <c r="BR264" s="197"/>
      <c r="BS264" s="197"/>
      <c r="BT264" s="197"/>
    </row>
    <row r="265">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7"/>
      <c r="BD265" s="197"/>
      <c r="BE265" s="197"/>
      <c r="BF265" s="197"/>
      <c r="BG265" s="197"/>
      <c r="BH265" s="197"/>
      <c r="BI265" s="197"/>
      <c r="BJ265" s="197"/>
      <c r="BK265" s="197"/>
      <c r="BL265" s="197"/>
      <c r="BM265" s="197"/>
      <c r="BN265" s="197"/>
      <c r="BO265" s="197"/>
      <c r="BP265" s="197"/>
      <c r="BQ265" s="197"/>
      <c r="BR265" s="197"/>
      <c r="BS265" s="197"/>
      <c r="BT265" s="197"/>
    </row>
    <row r="266">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c r="AR266" s="197"/>
      <c r="AS266" s="197"/>
      <c r="AT266" s="197"/>
      <c r="AU266" s="197"/>
      <c r="AV266" s="197"/>
      <c r="AW266" s="197"/>
      <c r="AX266" s="197"/>
      <c r="AY266" s="197"/>
      <c r="AZ266" s="197"/>
      <c r="BA266" s="197"/>
      <c r="BB266" s="197"/>
      <c r="BC266" s="197"/>
      <c r="BD266" s="197"/>
      <c r="BE266" s="197"/>
      <c r="BF266" s="197"/>
      <c r="BG266" s="197"/>
      <c r="BH266" s="197"/>
      <c r="BI266" s="197"/>
      <c r="BJ266" s="197"/>
      <c r="BK266" s="197"/>
      <c r="BL266" s="197"/>
      <c r="BM266" s="197"/>
      <c r="BN266" s="197"/>
      <c r="BO266" s="197"/>
      <c r="BP266" s="197"/>
      <c r="BQ266" s="197"/>
      <c r="BR266" s="197"/>
      <c r="BS266" s="197"/>
      <c r="BT266" s="197"/>
    </row>
    <row r="267">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7"/>
      <c r="BD267" s="197"/>
      <c r="BE267" s="197"/>
      <c r="BF267" s="197"/>
      <c r="BG267" s="197"/>
      <c r="BH267" s="197"/>
      <c r="BI267" s="197"/>
      <c r="BJ267" s="197"/>
      <c r="BK267" s="197"/>
      <c r="BL267" s="197"/>
      <c r="BM267" s="197"/>
      <c r="BN267" s="197"/>
      <c r="BO267" s="197"/>
      <c r="BP267" s="197"/>
      <c r="BQ267" s="197"/>
      <c r="BR267" s="197"/>
      <c r="BS267" s="197"/>
      <c r="BT267" s="197"/>
    </row>
    <row r="268">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c r="AR268" s="197"/>
      <c r="AS268" s="197"/>
      <c r="AT268" s="197"/>
      <c r="AU268" s="197"/>
      <c r="AV268" s="197"/>
      <c r="AW268" s="197"/>
      <c r="AX268" s="197"/>
      <c r="AY268" s="197"/>
      <c r="AZ268" s="197"/>
      <c r="BA268" s="197"/>
      <c r="BB268" s="197"/>
      <c r="BC268" s="197"/>
      <c r="BD268" s="197"/>
      <c r="BE268" s="197"/>
      <c r="BF268" s="197"/>
      <c r="BG268" s="197"/>
      <c r="BH268" s="197"/>
      <c r="BI268" s="197"/>
      <c r="BJ268" s="197"/>
      <c r="BK268" s="197"/>
      <c r="BL268" s="197"/>
      <c r="BM268" s="197"/>
      <c r="BN268" s="197"/>
      <c r="BO268" s="197"/>
      <c r="BP268" s="197"/>
      <c r="BQ268" s="197"/>
      <c r="BR268" s="197"/>
      <c r="BS268" s="197"/>
      <c r="BT268" s="197"/>
    </row>
    <row r="269">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c r="AA269" s="197"/>
      <c r="AB269" s="197"/>
      <c r="AC269" s="197"/>
      <c r="AD269" s="197"/>
      <c r="AE269" s="197"/>
      <c r="AF269" s="197"/>
      <c r="AG269" s="197"/>
      <c r="AH269" s="197"/>
      <c r="AI269" s="197"/>
      <c r="AJ269" s="197"/>
      <c r="AK269" s="197"/>
      <c r="AL269" s="197"/>
      <c r="AM269" s="197"/>
      <c r="AN269" s="197"/>
      <c r="AO269" s="197"/>
      <c r="AP269" s="197"/>
      <c r="AQ269" s="197"/>
      <c r="AR269" s="197"/>
      <c r="AS269" s="197"/>
      <c r="AT269" s="197"/>
      <c r="AU269" s="197"/>
      <c r="AV269" s="197"/>
      <c r="AW269" s="197"/>
      <c r="AX269" s="197"/>
      <c r="AY269" s="197"/>
      <c r="AZ269" s="197"/>
      <c r="BA269" s="197"/>
      <c r="BB269" s="197"/>
      <c r="BC269" s="197"/>
      <c r="BD269" s="197"/>
      <c r="BE269" s="197"/>
      <c r="BF269" s="197"/>
      <c r="BG269" s="197"/>
      <c r="BH269" s="197"/>
      <c r="BI269" s="197"/>
      <c r="BJ269" s="197"/>
      <c r="BK269" s="197"/>
      <c r="BL269" s="197"/>
      <c r="BM269" s="197"/>
      <c r="BN269" s="197"/>
      <c r="BO269" s="197"/>
      <c r="BP269" s="197"/>
      <c r="BQ269" s="197"/>
      <c r="BR269" s="197"/>
      <c r="BS269" s="197"/>
      <c r="BT269" s="197"/>
    </row>
    <row r="270">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c r="AA270" s="197"/>
      <c r="AB270" s="197"/>
      <c r="AC270" s="197"/>
      <c r="AD270" s="197"/>
      <c r="AE270" s="197"/>
      <c r="AF270" s="197"/>
      <c r="AG270" s="197"/>
      <c r="AH270" s="197"/>
      <c r="AI270" s="197"/>
      <c r="AJ270" s="197"/>
      <c r="AK270" s="197"/>
      <c r="AL270" s="197"/>
      <c r="AM270" s="197"/>
      <c r="AN270" s="197"/>
      <c r="AO270" s="197"/>
      <c r="AP270" s="197"/>
      <c r="AQ270" s="197"/>
      <c r="AR270" s="197"/>
      <c r="AS270" s="197"/>
      <c r="AT270" s="197"/>
      <c r="AU270" s="197"/>
      <c r="AV270" s="197"/>
      <c r="AW270" s="197"/>
      <c r="AX270" s="197"/>
      <c r="AY270" s="197"/>
      <c r="AZ270" s="197"/>
      <c r="BA270" s="197"/>
      <c r="BB270" s="197"/>
      <c r="BC270" s="197"/>
      <c r="BD270" s="197"/>
      <c r="BE270" s="197"/>
      <c r="BF270" s="197"/>
      <c r="BG270" s="197"/>
      <c r="BH270" s="197"/>
      <c r="BI270" s="197"/>
      <c r="BJ270" s="197"/>
      <c r="BK270" s="197"/>
      <c r="BL270" s="197"/>
      <c r="BM270" s="197"/>
      <c r="BN270" s="197"/>
      <c r="BO270" s="197"/>
      <c r="BP270" s="197"/>
      <c r="BQ270" s="197"/>
      <c r="BR270" s="197"/>
      <c r="BS270" s="197"/>
      <c r="BT270" s="197"/>
    </row>
    <row r="271">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c r="AA271" s="197"/>
      <c r="AB271" s="197"/>
      <c r="AC271" s="197"/>
      <c r="AD271" s="197"/>
      <c r="AE271" s="197"/>
      <c r="AF271" s="197"/>
      <c r="AG271" s="197"/>
      <c r="AH271" s="197"/>
      <c r="AI271" s="197"/>
      <c r="AJ271" s="197"/>
      <c r="AK271" s="197"/>
      <c r="AL271" s="197"/>
      <c r="AM271" s="197"/>
      <c r="AN271" s="197"/>
      <c r="AO271" s="197"/>
      <c r="AP271" s="197"/>
      <c r="AQ271" s="197"/>
      <c r="AR271" s="197"/>
      <c r="AS271" s="197"/>
      <c r="AT271" s="197"/>
      <c r="AU271" s="197"/>
      <c r="AV271" s="197"/>
      <c r="AW271" s="197"/>
      <c r="AX271" s="197"/>
      <c r="AY271" s="197"/>
      <c r="AZ271" s="197"/>
      <c r="BA271" s="197"/>
      <c r="BB271" s="197"/>
      <c r="BC271" s="197"/>
      <c r="BD271" s="197"/>
      <c r="BE271" s="197"/>
      <c r="BF271" s="197"/>
      <c r="BG271" s="197"/>
      <c r="BH271" s="197"/>
      <c r="BI271" s="197"/>
      <c r="BJ271" s="197"/>
      <c r="BK271" s="197"/>
      <c r="BL271" s="197"/>
      <c r="BM271" s="197"/>
      <c r="BN271" s="197"/>
      <c r="BO271" s="197"/>
      <c r="BP271" s="197"/>
      <c r="BQ271" s="197"/>
      <c r="BR271" s="197"/>
      <c r="BS271" s="197"/>
      <c r="BT271" s="197"/>
    </row>
    <row r="272">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c r="AA272" s="197"/>
      <c r="AB272" s="197"/>
      <c r="AC272" s="197"/>
      <c r="AD272" s="197"/>
      <c r="AE272" s="197"/>
      <c r="AF272" s="197"/>
      <c r="AG272" s="197"/>
      <c r="AH272" s="197"/>
      <c r="AI272" s="197"/>
      <c r="AJ272" s="197"/>
      <c r="AK272" s="197"/>
      <c r="AL272" s="197"/>
      <c r="AM272" s="197"/>
      <c r="AN272" s="197"/>
      <c r="AO272" s="197"/>
      <c r="AP272" s="197"/>
      <c r="AQ272" s="197"/>
      <c r="AR272" s="197"/>
      <c r="AS272" s="197"/>
      <c r="AT272" s="197"/>
      <c r="AU272" s="197"/>
      <c r="AV272" s="197"/>
      <c r="AW272" s="197"/>
      <c r="AX272" s="197"/>
      <c r="AY272" s="197"/>
      <c r="AZ272" s="197"/>
      <c r="BA272" s="197"/>
      <c r="BB272" s="197"/>
      <c r="BC272" s="197"/>
      <c r="BD272" s="197"/>
      <c r="BE272" s="197"/>
      <c r="BF272" s="197"/>
      <c r="BG272" s="197"/>
      <c r="BH272" s="197"/>
      <c r="BI272" s="197"/>
      <c r="BJ272" s="197"/>
      <c r="BK272" s="197"/>
      <c r="BL272" s="197"/>
      <c r="BM272" s="197"/>
      <c r="BN272" s="197"/>
      <c r="BO272" s="197"/>
      <c r="BP272" s="197"/>
      <c r="BQ272" s="197"/>
      <c r="BR272" s="197"/>
      <c r="BS272" s="197"/>
      <c r="BT272" s="197"/>
    </row>
    <row r="273">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c r="AA273" s="197"/>
      <c r="AB273" s="197"/>
      <c r="AC273" s="197"/>
      <c r="AD273" s="197"/>
      <c r="AE273" s="197"/>
      <c r="AF273" s="197"/>
      <c r="AG273" s="197"/>
      <c r="AH273" s="197"/>
      <c r="AI273" s="197"/>
      <c r="AJ273" s="197"/>
      <c r="AK273" s="197"/>
      <c r="AL273" s="197"/>
      <c r="AM273" s="197"/>
      <c r="AN273" s="197"/>
      <c r="AO273" s="197"/>
      <c r="AP273" s="197"/>
      <c r="AQ273" s="197"/>
      <c r="AR273" s="197"/>
      <c r="AS273" s="197"/>
      <c r="AT273" s="197"/>
      <c r="AU273" s="197"/>
      <c r="AV273" s="197"/>
      <c r="AW273" s="197"/>
      <c r="AX273" s="197"/>
      <c r="AY273" s="197"/>
      <c r="AZ273" s="197"/>
      <c r="BA273" s="197"/>
      <c r="BB273" s="197"/>
      <c r="BC273" s="197"/>
      <c r="BD273" s="197"/>
      <c r="BE273" s="197"/>
      <c r="BF273" s="197"/>
      <c r="BG273" s="197"/>
      <c r="BH273" s="197"/>
      <c r="BI273" s="197"/>
      <c r="BJ273" s="197"/>
      <c r="BK273" s="197"/>
      <c r="BL273" s="197"/>
      <c r="BM273" s="197"/>
      <c r="BN273" s="197"/>
      <c r="BO273" s="197"/>
      <c r="BP273" s="197"/>
      <c r="BQ273" s="197"/>
      <c r="BR273" s="197"/>
      <c r="BS273" s="197"/>
      <c r="BT273" s="197"/>
    </row>
    <row r="274">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c r="AR274" s="197"/>
      <c r="AS274" s="197"/>
      <c r="AT274" s="197"/>
      <c r="AU274" s="197"/>
      <c r="AV274" s="197"/>
      <c r="AW274" s="197"/>
      <c r="AX274" s="197"/>
      <c r="AY274" s="197"/>
      <c r="AZ274" s="197"/>
      <c r="BA274" s="197"/>
      <c r="BB274" s="197"/>
      <c r="BC274" s="197"/>
      <c r="BD274" s="197"/>
      <c r="BE274" s="197"/>
      <c r="BF274" s="197"/>
      <c r="BG274" s="197"/>
      <c r="BH274" s="197"/>
      <c r="BI274" s="197"/>
      <c r="BJ274" s="197"/>
      <c r="BK274" s="197"/>
      <c r="BL274" s="197"/>
      <c r="BM274" s="197"/>
      <c r="BN274" s="197"/>
      <c r="BO274" s="197"/>
      <c r="BP274" s="197"/>
      <c r="BQ274" s="197"/>
      <c r="BR274" s="197"/>
      <c r="BS274" s="197"/>
      <c r="BT274" s="197"/>
    </row>
    <row r="275">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c r="AA275" s="197"/>
      <c r="AB275" s="197"/>
      <c r="AC275" s="197"/>
      <c r="AD275" s="197"/>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7"/>
      <c r="BD275" s="197"/>
      <c r="BE275" s="197"/>
      <c r="BF275" s="197"/>
      <c r="BG275" s="197"/>
      <c r="BH275" s="197"/>
      <c r="BI275" s="197"/>
      <c r="BJ275" s="197"/>
      <c r="BK275" s="197"/>
      <c r="BL275" s="197"/>
      <c r="BM275" s="197"/>
      <c r="BN275" s="197"/>
      <c r="BO275" s="197"/>
      <c r="BP275" s="197"/>
      <c r="BQ275" s="197"/>
      <c r="BR275" s="197"/>
      <c r="BS275" s="197"/>
      <c r="BT275" s="197"/>
    </row>
    <row r="276">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c r="AA276" s="197"/>
      <c r="AB276" s="197"/>
      <c r="AC276" s="197"/>
      <c r="AD276" s="197"/>
      <c r="AE276" s="197"/>
      <c r="AF276" s="197"/>
      <c r="AG276" s="197"/>
      <c r="AH276" s="197"/>
      <c r="AI276" s="197"/>
      <c r="AJ276" s="197"/>
      <c r="AK276" s="197"/>
      <c r="AL276" s="197"/>
      <c r="AM276" s="197"/>
      <c r="AN276" s="197"/>
      <c r="AO276" s="197"/>
      <c r="AP276" s="197"/>
      <c r="AQ276" s="197"/>
      <c r="AR276" s="197"/>
      <c r="AS276" s="197"/>
      <c r="AT276" s="197"/>
      <c r="AU276" s="197"/>
      <c r="AV276" s="197"/>
      <c r="AW276" s="197"/>
      <c r="AX276" s="197"/>
      <c r="AY276" s="197"/>
      <c r="AZ276" s="197"/>
      <c r="BA276" s="197"/>
      <c r="BB276" s="197"/>
      <c r="BC276" s="197"/>
      <c r="BD276" s="197"/>
      <c r="BE276" s="197"/>
      <c r="BF276" s="197"/>
      <c r="BG276" s="197"/>
      <c r="BH276" s="197"/>
      <c r="BI276" s="197"/>
      <c r="BJ276" s="197"/>
      <c r="BK276" s="197"/>
      <c r="BL276" s="197"/>
      <c r="BM276" s="197"/>
      <c r="BN276" s="197"/>
      <c r="BO276" s="197"/>
      <c r="BP276" s="197"/>
      <c r="BQ276" s="197"/>
      <c r="BR276" s="197"/>
      <c r="BS276" s="197"/>
      <c r="BT276" s="197"/>
    </row>
    <row r="277">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c r="AA277" s="197"/>
      <c r="AB277" s="197"/>
      <c r="AC277" s="197"/>
      <c r="AD277" s="197"/>
      <c r="AE277" s="197"/>
      <c r="AF277" s="197"/>
      <c r="AG277" s="197"/>
      <c r="AH277" s="197"/>
      <c r="AI277" s="197"/>
      <c r="AJ277" s="197"/>
      <c r="AK277" s="197"/>
      <c r="AL277" s="197"/>
      <c r="AM277" s="197"/>
      <c r="AN277" s="197"/>
      <c r="AO277" s="197"/>
      <c r="AP277" s="197"/>
      <c r="AQ277" s="197"/>
      <c r="AR277" s="197"/>
      <c r="AS277" s="197"/>
      <c r="AT277" s="197"/>
      <c r="AU277" s="197"/>
      <c r="AV277" s="197"/>
      <c r="AW277" s="197"/>
      <c r="AX277" s="197"/>
      <c r="AY277" s="197"/>
      <c r="AZ277" s="197"/>
      <c r="BA277" s="197"/>
      <c r="BB277" s="197"/>
      <c r="BC277" s="197"/>
      <c r="BD277" s="197"/>
      <c r="BE277" s="197"/>
      <c r="BF277" s="197"/>
      <c r="BG277" s="197"/>
      <c r="BH277" s="197"/>
      <c r="BI277" s="197"/>
      <c r="BJ277" s="197"/>
      <c r="BK277" s="197"/>
      <c r="BL277" s="197"/>
      <c r="BM277" s="197"/>
      <c r="BN277" s="197"/>
      <c r="BO277" s="197"/>
      <c r="BP277" s="197"/>
      <c r="BQ277" s="197"/>
      <c r="BR277" s="197"/>
      <c r="BS277" s="197"/>
      <c r="BT277" s="197"/>
    </row>
    <row r="278">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197"/>
      <c r="AU278" s="197"/>
      <c r="AV278" s="197"/>
      <c r="AW278" s="197"/>
      <c r="AX278" s="197"/>
      <c r="AY278" s="197"/>
      <c r="AZ278" s="197"/>
      <c r="BA278" s="197"/>
      <c r="BB278" s="197"/>
      <c r="BC278" s="197"/>
      <c r="BD278" s="197"/>
      <c r="BE278" s="197"/>
      <c r="BF278" s="197"/>
      <c r="BG278" s="197"/>
      <c r="BH278" s="197"/>
      <c r="BI278" s="197"/>
      <c r="BJ278" s="197"/>
      <c r="BK278" s="197"/>
      <c r="BL278" s="197"/>
      <c r="BM278" s="197"/>
      <c r="BN278" s="197"/>
      <c r="BO278" s="197"/>
      <c r="BP278" s="197"/>
      <c r="BQ278" s="197"/>
      <c r="BR278" s="197"/>
      <c r="BS278" s="197"/>
      <c r="BT278" s="197"/>
    </row>
    <row r="279">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7"/>
      <c r="BD279" s="197"/>
      <c r="BE279" s="197"/>
      <c r="BF279" s="197"/>
      <c r="BG279" s="197"/>
      <c r="BH279" s="197"/>
      <c r="BI279" s="197"/>
      <c r="BJ279" s="197"/>
      <c r="BK279" s="197"/>
      <c r="BL279" s="197"/>
      <c r="BM279" s="197"/>
      <c r="BN279" s="197"/>
      <c r="BO279" s="197"/>
      <c r="BP279" s="197"/>
      <c r="BQ279" s="197"/>
      <c r="BR279" s="197"/>
      <c r="BS279" s="197"/>
      <c r="BT279" s="197"/>
    </row>
    <row r="280">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c r="AA280" s="197"/>
      <c r="AB280" s="197"/>
      <c r="AC280" s="197"/>
      <c r="AD280" s="197"/>
      <c r="AE280" s="197"/>
      <c r="AF280" s="197"/>
      <c r="AG280" s="197"/>
      <c r="AH280" s="197"/>
      <c r="AI280" s="197"/>
      <c r="AJ280" s="197"/>
      <c r="AK280" s="197"/>
      <c r="AL280" s="197"/>
      <c r="AM280" s="197"/>
      <c r="AN280" s="197"/>
      <c r="AO280" s="197"/>
      <c r="AP280" s="197"/>
      <c r="AQ280" s="197"/>
      <c r="AR280" s="197"/>
      <c r="AS280" s="197"/>
      <c r="AT280" s="197"/>
      <c r="AU280" s="197"/>
      <c r="AV280" s="197"/>
      <c r="AW280" s="197"/>
      <c r="AX280" s="197"/>
      <c r="AY280" s="197"/>
      <c r="AZ280" s="197"/>
      <c r="BA280" s="197"/>
      <c r="BB280" s="197"/>
      <c r="BC280" s="197"/>
      <c r="BD280" s="197"/>
      <c r="BE280" s="197"/>
      <c r="BF280" s="197"/>
      <c r="BG280" s="197"/>
      <c r="BH280" s="197"/>
      <c r="BI280" s="197"/>
      <c r="BJ280" s="197"/>
      <c r="BK280" s="197"/>
      <c r="BL280" s="197"/>
      <c r="BM280" s="197"/>
      <c r="BN280" s="197"/>
      <c r="BO280" s="197"/>
      <c r="BP280" s="197"/>
      <c r="BQ280" s="197"/>
      <c r="BR280" s="197"/>
      <c r="BS280" s="197"/>
      <c r="BT280" s="197"/>
    </row>
    <row r="281">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c r="AA281" s="197"/>
      <c r="AB281" s="197"/>
      <c r="AC281" s="197"/>
      <c r="AD281" s="197"/>
      <c r="AE281" s="197"/>
      <c r="AF281" s="197"/>
      <c r="AG281" s="197"/>
      <c r="AH281" s="197"/>
      <c r="AI281" s="197"/>
      <c r="AJ281" s="197"/>
      <c r="AK281" s="197"/>
      <c r="AL281" s="197"/>
      <c r="AM281" s="197"/>
      <c r="AN281" s="197"/>
      <c r="AO281" s="197"/>
      <c r="AP281" s="197"/>
      <c r="AQ281" s="197"/>
      <c r="AR281" s="197"/>
      <c r="AS281" s="197"/>
      <c r="AT281" s="197"/>
      <c r="AU281" s="197"/>
      <c r="AV281" s="197"/>
      <c r="AW281" s="197"/>
      <c r="AX281" s="197"/>
      <c r="AY281" s="197"/>
      <c r="AZ281" s="197"/>
      <c r="BA281" s="197"/>
      <c r="BB281" s="197"/>
      <c r="BC281" s="197"/>
      <c r="BD281" s="197"/>
      <c r="BE281" s="197"/>
      <c r="BF281" s="197"/>
      <c r="BG281" s="197"/>
      <c r="BH281" s="197"/>
      <c r="BI281" s="197"/>
      <c r="BJ281" s="197"/>
      <c r="BK281" s="197"/>
      <c r="BL281" s="197"/>
      <c r="BM281" s="197"/>
      <c r="BN281" s="197"/>
      <c r="BO281" s="197"/>
      <c r="BP281" s="197"/>
      <c r="BQ281" s="197"/>
      <c r="BR281" s="197"/>
      <c r="BS281" s="197"/>
      <c r="BT281" s="197"/>
    </row>
    <row r="282">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c r="AA282" s="197"/>
      <c r="AB282" s="197"/>
      <c r="AC282" s="197"/>
      <c r="AD282" s="197"/>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7"/>
      <c r="BD282" s="197"/>
      <c r="BE282" s="197"/>
      <c r="BF282" s="197"/>
      <c r="BG282" s="197"/>
      <c r="BH282" s="197"/>
      <c r="BI282" s="197"/>
      <c r="BJ282" s="197"/>
      <c r="BK282" s="197"/>
      <c r="BL282" s="197"/>
      <c r="BM282" s="197"/>
      <c r="BN282" s="197"/>
      <c r="BO282" s="197"/>
      <c r="BP282" s="197"/>
      <c r="BQ282" s="197"/>
      <c r="BR282" s="197"/>
      <c r="BS282" s="197"/>
      <c r="BT282" s="197"/>
    </row>
    <row r="283">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c r="AA283" s="197"/>
      <c r="AB283" s="197"/>
      <c r="AC283" s="197"/>
      <c r="AD283" s="197"/>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7"/>
      <c r="BD283" s="197"/>
      <c r="BE283" s="197"/>
      <c r="BF283" s="197"/>
      <c r="BG283" s="197"/>
      <c r="BH283" s="197"/>
      <c r="BI283" s="197"/>
      <c r="BJ283" s="197"/>
      <c r="BK283" s="197"/>
      <c r="BL283" s="197"/>
      <c r="BM283" s="197"/>
      <c r="BN283" s="197"/>
      <c r="BO283" s="197"/>
      <c r="BP283" s="197"/>
      <c r="BQ283" s="197"/>
      <c r="BR283" s="197"/>
      <c r="BS283" s="197"/>
      <c r="BT283" s="197"/>
    </row>
    <row r="284">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c r="AA284" s="197"/>
      <c r="AB284" s="197"/>
      <c r="AC284" s="197"/>
      <c r="AD284" s="197"/>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7"/>
      <c r="BD284" s="197"/>
      <c r="BE284" s="197"/>
      <c r="BF284" s="197"/>
      <c r="BG284" s="197"/>
      <c r="BH284" s="197"/>
      <c r="BI284" s="197"/>
      <c r="BJ284" s="197"/>
      <c r="BK284" s="197"/>
      <c r="BL284" s="197"/>
      <c r="BM284" s="197"/>
      <c r="BN284" s="197"/>
      <c r="BO284" s="197"/>
      <c r="BP284" s="197"/>
      <c r="BQ284" s="197"/>
      <c r="BR284" s="197"/>
      <c r="BS284" s="197"/>
      <c r="BT284" s="197"/>
    </row>
    <row r="285">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c r="AA285" s="197"/>
      <c r="AB285" s="197"/>
      <c r="AC285" s="197"/>
      <c r="AD285" s="197"/>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7"/>
      <c r="BD285" s="197"/>
      <c r="BE285" s="197"/>
      <c r="BF285" s="197"/>
      <c r="BG285" s="197"/>
      <c r="BH285" s="197"/>
      <c r="BI285" s="197"/>
      <c r="BJ285" s="197"/>
      <c r="BK285" s="197"/>
      <c r="BL285" s="197"/>
      <c r="BM285" s="197"/>
      <c r="BN285" s="197"/>
      <c r="BO285" s="197"/>
      <c r="BP285" s="197"/>
      <c r="BQ285" s="197"/>
      <c r="BR285" s="197"/>
      <c r="BS285" s="197"/>
      <c r="BT285" s="197"/>
    </row>
    <row r="286">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c r="AA286" s="197"/>
      <c r="AB286" s="197"/>
      <c r="AC286" s="197"/>
      <c r="AD286" s="197"/>
      <c r="AE286" s="197"/>
      <c r="AF286" s="197"/>
      <c r="AG286" s="197"/>
      <c r="AH286" s="197"/>
      <c r="AI286" s="197"/>
      <c r="AJ286" s="197"/>
      <c r="AK286" s="197"/>
      <c r="AL286" s="197"/>
      <c r="AM286" s="197"/>
      <c r="AN286" s="197"/>
      <c r="AO286" s="197"/>
      <c r="AP286" s="197"/>
      <c r="AQ286" s="197"/>
      <c r="AR286" s="197"/>
      <c r="AS286" s="197"/>
      <c r="AT286" s="197"/>
      <c r="AU286" s="197"/>
      <c r="AV286" s="197"/>
      <c r="AW286" s="197"/>
      <c r="AX286" s="197"/>
      <c r="AY286" s="197"/>
      <c r="AZ286" s="197"/>
      <c r="BA286" s="197"/>
      <c r="BB286" s="197"/>
      <c r="BC286" s="197"/>
      <c r="BD286" s="197"/>
      <c r="BE286" s="197"/>
      <c r="BF286" s="197"/>
      <c r="BG286" s="197"/>
      <c r="BH286" s="197"/>
      <c r="BI286" s="197"/>
      <c r="BJ286" s="197"/>
      <c r="BK286" s="197"/>
      <c r="BL286" s="197"/>
      <c r="BM286" s="197"/>
      <c r="BN286" s="197"/>
      <c r="BO286" s="197"/>
      <c r="BP286" s="197"/>
      <c r="BQ286" s="197"/>
      <c r="BR286" s="197"/>
      <c r="BS286" s="197"/>
      <c r="BT286" s="197"/>
    </row>
    <row r="287">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c r="AR287" s="197"/>
      <c r="AS287" s="197"/>
      <c r="AT287" s="197"/>
      <c r="AU287" s="197"/>
      <c r="AV287" s="197"/>
      <c r="AW287" s="197"/>
      <c r="AX287" s="197"/>
      <c r="AY287" s="197"/>
      <c r="AZ287" s="197"/>
      <c r="BA287" s="197"/>
      <c r="BB287" s="197"/>
      <c r="BC287" s="197"/>
      <c r="BD287" s="197"/>
      <c r="BE287" s="197"/>
      <c r="BF287" s="197"/>
      <c r="BG287" s="197"/>
      <c r="BH287" s="197"/>
      <c r="BI287" s="197"/>
      <c r="BJ287" s="197"/>
      <c r="BK287" s="197"/>
      <c r="BL287" s="197"/>
      <c r="BM287" s="197"/>
      <c r="BN287" s="197"/>
      <c r="BO287" s="197"/>
      <c r="BP287" s="197"/>
      <c r="BQ287" s="197"/>
      <c r="BR287" s="197"/>
      <c r="BS287" s="197"/>
      <c r="BT287" s="197"/>
    </row>
    <row r="288">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c r="AR288" s="197"/>
      <c r="AS288" s="197"/>
      <c r="AT288" s="197"/>
      <c r="AU288" s="197"/>
      <c r="AV288" s="197"/>
      <c r="AW288" s="197"/>
      <c r="AX288" s="197"/>
      <c r="AY288" s="197"/>
      <c r="AZ288" s="197"/>
      <c r="BA288" s="197"/>
      <c r="BB288" s="197"/>
      <c r="BC288" s="197"/>
      <c r="BD288" s="197"/>
      <c r="BE288" s="197"/>
      <c r="BF288" s="197"/>
      <c r="BG288" s="197"/>
      <c r="BH288" s="197"/>
      <c r="BI288" s="197"/>
      <c r="BJ288" s="197"/>
      <c r="BK288" s="197"/>
      <c r="BL288" s="197"/>
      <c r="BM288" s="197"/>
      <c r="BN288" s="197"/>
      <c r="BO288" s="197"/>
      <c r="BP288" s="197"/>
      <c r="BQ288" s="197"/>
      <c r="BR288" s="197"/>
      <c r="BS288" s="197"/>
      <c r="BT288" s="197"/>
    </row>
    <row r="289">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c r="BD289" s="197"/>
      <c r="BE289" s="197"/>
      <c r="BF289" s="197"/>
      <c r="BG289" s="197"/>
      <c r="BH289" s="197"/>
      <c r="BI289" s="197"/>
      <c r="BJ289" s="197"/>
      <c r="BK289" s="197"/>
      <c r="BL289" s="197"/>
      <c r="BM289" s="197"/>
      <c r="BN289" s="197"/>
      <c r="BO289" s="197"/>
      <c r="BP289" s="197"/>
      <c r="BQ289" s="197"/>
      <c r="BR289" s="197"/>
      <c r="BS289" s="197"/>
      <c r="BT289" s="197"/>
    </row>
    <row r="290">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c r="AA290" s="197"/>
      <c r="AB290" s="197"/>
      <c r="AC290" s="197"/>
      <c r="AD290" s="197"/>
      <c r="AE290" s="197"/>
      <c r="AF290" s="197"/>
      <c r="AG290" s="197"/>
      <c r="AH290" s="197"/>
      <c r="AI290" s="197"/>
      <c r="AJ290" s="197"/>
      <c r="AK290" s="197"/>
      <c r="AL290" s="197"/>
      <c r="AM290" s="197"/>
      <c r="AN290" s="197"/>
      <c r="AO290" s="197"/>
      <c r="AP290" s="197"/>
      <c r="AQ290" s="197"/>
      <c r="AR290" s="197"/>
      <c r="AS290" s="197"/>
      <c r="AT290" s="197"/>
      <c r="AU290" s="197"/>
      <c r="AV290" s="197"/>
      <c r="AW290" s="197"/>
      <c r="AX290" s="197"/>
      <c r="AY290" s="197"/>
      <c r="AZ290" s="197"/>
      <c r="BA290" s="197"/>
      <c r="BB290" s="197"/>
      <c r="BC290" s="197"/>
      <c r="BD290" s="197"/>
      <c r="BE290" s="197"/>
      <c r="BF290" s="197"/>
      <c r="BG290" s="197"/>
      <c r="BH290" s="197"/>
      <c r="BI290" s="197"/>
      <c r="BJ290" s="197"/>
      <c r="BK290" s="197"/>
      <c r="BL290" s="197"/>
      <c r="BM290" s="197"/>
      <c r="BN290" s="197"/>
      <c r="BO290" s="197"/>
      <c r="BP290" s="197"/>
      <c r="BQ290" s="197"/>
      <c r="BR290" s="197"/>
      <c r="BS290" s="197"/>
      <c r="BT290" s="197"/>
    </row>
    <row r="291">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c r="AA291" s="197"/>
      <c r="AB291" s="197"/>
      <c r="AC291" s="197"/>
      <c r="AD291" s="197"/>
      <c r="AE291" s="197"/>
      <c r="AF291" s="197"/>
      <c r="AG291" s="197"/>
      <c r="AH291" s="197"/>
      <c r="AI291" s="197"/>
      <c r="AJ291" s="197"/>
      <c r="AK291" s="197"/>
      <c r="AL291" s="197"/>
      <c r="AM291" s="197"/>
      <c r="AN291" s="197"/>
      <c r="AO291" s="197"/>
      <c r="AP291" s="197"/>
      <c r="AQ291" s="197"/>
      <c r="AR291" s="197"/>
      <c r="AS291" s="197"/>
      <c r="AT291" s="197"/>
      <c r="AU291" s="197"/>
      <c r="AV291" s="197"/>
      <c r="AW291" s="197"/>
      <c r="AX291" s="197"/>
      <c r="AY291" s="197"/>
      <c r="AZ291" s="197"/>
      <c r="BA291" s="197"/>
      <c r="BB291" s="197"/>
      <c r="BC291" s="197"/>
      <c r="BD291" s="197"/>
      <c r="BE291" s="197"/>
      <c r="BF291" s="197"/>
      <c r="BG291" s="197"/>
      <c r="BH291" s="197"/>
      <c r="BI291" s="197"/>
      <c r="BJ291" s="197"/>
      <c r="BK291" s="197"/>
      <c r="BL291" s="197"/>
      <c r="BM291" s="197"/>
      <c r="BN291" s="197"/>
      <c r="BO291" s="197"/>
      <c r="BP291" s="197"/>
      <c r="BQ291" s="197"/>
      <c r="BR291" s="197"/>
      <c r="BS291" s="197"/>
      <c r="BT291" s="197"/>
    </row>
    <row r="292">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c r="AA292" s="197"/>
      <c r="AB292" s="197"/>
      <c r="AC292" s="197"/>
      <c r="AD292" s="197"/>
      <c r="AE292" s="197"/>
      <c r="AF292" s="197"/>
      <c r="AG292" s="197"/>
      <c r="AH292" s="197"/>
      <c r="AI292" s="197"/>
      <c r="AJ292" s="197"/>
      <c r="AK292" s="197"/>
      <c r="AL292" s="197"/>
      <c r="AM292" s="197"/>
      <c r="AN292" s="197"/>
      <c r="AO292" s="197"/>
      <c r="AP292" s="197"/>
      <c r="AQ292" s="197"/>
      <c r="AR292" s="197"/>
      <c r="AS292" s="197"/>
      <c r="AT292" s="197"/>
      <c r="AU292" s="197"/>
      <c r="AV292" s="197"/>
      <c r="AW292" s="197"/>
      <c r="AX292" s="197"/>
      <c r="AY292" s="197"/>
      <c r="AZ292" s="197"/>
      <c r="BA292" s="197"/>
      <c r="BB292" s="197"/>
      <c r="BC292" s="197"/>
      <c r="BD292" s="197"/>
      <c r="BE292" s="197"/>
      <c r="BF292" s="197"/>
      <c r="BG292" s="197"/>
      <c r="BH292" s="197"/>
      <c r="BI292" s="197"/>
      <c r="BJ292" s="197"/>
      <c r="BK292" s="197"/>
      <c r="BL292" s="197"/>
      <c r="BM292" s="197"/>
      <c r="BN292" s="197"/>
      <c r="BO292" s="197"/>
      <c r="BP292" s="197"/>
      <c r="BQ292" s="197"/>
      <c r="BR292" s="197"/>
      <c r="BS292" s="197"/>
      <c r="BT292" s="197"/>
    </row>
    <row r="293">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c r="AA293" s="197"/>
      <c r="AB293" s="197"/>
      <c r="AC293" s="197"/>
      <c r="AD293" s="197"/>
      <c r="AE293" s="197"/>
      <c r="AF293" s="197"/>
      <c r="AG293" s="197"/>
      <c r="AH293" s="197"/>
      <c r="AI293" s="197"/>
      <c r="AJ293" s="197"/>
      <c r="AK293" s="197"/>
      <c r="AL293" s="197"/>
      <c r="AM293" s="197"/>
      <c r="AN293" s="197"/>
      <c r="AO293" s="197"/>
      <c r="AP293" s="197"/>
      <c r="AQ293" s="197"/>
      <c r="AR293" s="197"/>
      <c r="AS293" s="197"/>
      <c r="AT293" s="197"/>
      <c r="AU293" s="197"/>
      <c r="AV293" s="197"/>
      <c r="AW293" s="197"/>
      <c r="AX293" s="197"/>
      <c r="AY293" s="197"/>
      <c r="AZ293" s="197"/>
      <c r="BA293" s="197"/>
      <c r="BB293" s="197"/>
      <c r="BC293" s="197"/>
      <c r="BD293" s="197"/>
      <c r="BE293" s="197"/>
      <c r="BF293" s="197"/>
      <c r="BG293" s="197"/>
      <c r="BH293" s="197"/>
      <c r="BI293" s="197"/>
      <c r="BJ293" s="197"/>
      <c r="BK293" s="197"/>
      <c r="BL293" s="197"/>
      <c r="BM293" s="197"/>
      <c r="BN293" s="197"/>
      <c r="BO293" s="197"/>
      <c r="BP293" s="197"/>
      <c r="BQ293" s="197"/>
      <c r="BR293" s="197"/>
      <c r="BS293" s="197"/>
      <c r="BT293" s="197"/>
    </row>
    <row r="294">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7"/>
      <c r="AV294" s="197"/>
      <c r="AW294" s="197"/>
      <c r="AX294" s="197"/>
      <c r="AY294" s="197"/>
      <c r="AZ294" s="197"/>
      <c r="BA294" s="197"/>
      <c r="BB294" s="197"/>
      <c r="BC294" s="197"/>
      <c r="BD294" s="197"/>
      <c r="BE294" s="197"/>
      <c r="BF294" s="197"/>
      <c r="BG294" s="197"/>
      <c r="BH294" s="197"/>
      <c r="BI294" s="197"/>
      <c r="BJ294" s="197"/>
      <c r="BK294" s="197"/>
      <c r="BL294" s="197"/>
      <c r="BM294" s="197"/>
      <c r="BN294" s="197"/>
      <c r="BO294" s="197"/>
      <c r="BP294" s="197"/>
      <c r="BQ294" s="197"/>
      <c r="BR294" s="197"/>
      <c r="BS294" s="197"/>
      <c r="BT294" s="197"/>
    </row>
    <row r="295">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c r="AA295" s="197"/>
      <c r="AB295" s="197"/>
      <c r="AC295" s="197"/>
      <c r="AD295" s="197"/>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7"/>
      <c r="BD295" s="197"/>
      <c r="BE295" s="197"/>
      <c r="BF295" s="197"/>
      <c r="BG295" s="197"/>
      <c r="BH295" s="197"/>
      <c r="BI295" s="197"/>
      <c r="BJ295" s="197"/>
      <c r="BK295" s="197"/>
      <c r="BL295" s="197"/>
      <c r="BM295" s="197"/>
      <c r="BN295" s="197"/>
      <c r="BO295" s="197"/>
      <c r="BP295" s="197"/>
      <c r="BQ295" s="197"/>
      <c r="BR295" s="197"/>
      <c r="BS295" s="197"/>
      <c r="BT295" s="197"/>
    </row>
    <row r="296">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c r="AA296" s="197"/>
      <c r="AB296" s="197"/>
      <c r="AC296" s="197"/>
      <c r="AD296" s="197"/>
      <c r="AE296" s="197"/>
      <c r="AF296" s="197"/>
      <c r="AG296" s="197"/>
      <c r="AH296" s="197"/>
      <c r="AI296" s="197"/>
      <c r="AJ296" s="197"/>
      <c r="AK296" s="197"/>
      <c r="AL296" s="197"/>
      <c r="AM296" s="197"/>
      <c r="AN296" s="197"/>
      <c r="AO296" s="197"/>
      <c r="AP296" s="197"/>
      <c r="AQ296" s="197"/>
      <c r="AR296" s="197"/>
      <c r="AS296" s="197"/>
      <c r="AT296" s="197"/>
      <c r="AU296" s="197"/>
      <c r="AV296" s="197"/>
      <c r="AW296" s="197"/>
      <c r="AX296" s="197"/>
      <c r="AY296" s="197"/>
      <c r="AZ296" s="197"/>
      <c r="BA296" s="197"/>
      <c r="BB296" s="197"/>
      <c r="BC296" s="197"/>
      <c r="BD296" s="197"/>
      <c r="BE296" s="197"/>
      <c r="BF296" s="197"/>
      <c r="BG296" s="197"/>
      <c r="BH296" s="197"/>
      <c r="BI296" s="197"/>
      <c r="BJ296" s="197"/>
      <c r="BK296" s="197"/>
      <c r="BL296" s="197"/>
      <c r="BM296" s="197"/>
      <c r="BN296" s="197"/>
      <c r="BO296" s="197"/>
      <c r="BP296" s="197"/>
      <c r="BQ296" s="197"/>
      <c r="BR296" s="197"/>
      <c r="BS296" s="197"/>
      <c r="BT296" s="197"/>
    </row>
    <row r="297">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c r="AA297" s="197"/>
      <c r="AB297" s="197"/>
      <c r="AC297" s="197"/>
      <c r="AD297" s="197"/>
      <c r="AE297" s="197"/>
      <c r="AF297" s="197"/>
      <c r="AG297" s="197"/>
      <c r="AH297" s="197"/>
      <c r="AI297" s="197"/>
      <c r="AJ297" s="197"/>
      <c r="AK297" s="197"/>
      <c r="AL297" s="197"/>
      <c r="AM297" s="197"/>
      <c r="AN297" s="197"/>
      <c r="AO297" s="197"/>
      <c r="AP297" s="197"/>
      <c r="AQ297" s="197"/>
      <c r="AR297" s="197"/>
      <c r="AS297" s="197"/>
      <c r="AT297" s="197"/>
      <c r="AU297" s="197"/>
      <c r="AV297" s="197"/>
      <c r="AW297" s="197"/>
      <c r="AX297" s="197"/>
      <c r="AY297" s="197"/>
      <c r="AZ297" s="197"/>
      <c r="BA297" s="197"/>
      <c r="BB297" s="197"/>
      <c r="BC297" s="197"/>
      <c r="BD297" s="197"/>
      <c r="BE297" s="197"/>
      <c r="BF297" s="197"/>
      <c r="BG297" s="197"/>
      <c r="BH297" s="197"/>
      <c r="BI297" s="197"/>
      <c r="BJ297" s="197"/>
      <c r="BK297" s="197"/>
      <c r="BL297" s="197"/>
      <c r="BM297" s="197"/>
      <c r="BN297" s="197"/>
      <c r="BO297" s="197"/>
      <c r="BP297" s="197"/>
      <c r="BQ297" s="197"/>
      <c r="BR297" s="197"/>
      <c r="BS297" s="197"/>
      <c r="BT297" s="197"/>
    </row>
    <row r="298">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c r="AA298" s="197"/>
      <c r="AB298" s="197"/>
      <c r="AC298" s="197"/>
      <c r="AD298" s="197"/>
      <c r="AE298" s="197"/>
      <c r="AF298" s="197"/>
      <c r="AG298" s="197"/>
      <c r="AH298" s="197"/>
      <c r="AI298" s="197"/>
      <c r="AJ298" s="197"/>
      <c r="AK298" s="197"/>
      <c r="AL298" s="197"/>
      <c r="AM298" s="197"/>
      <c r="AN298" s="197"/>
      <c r="AO298" s="197"/>
      <c r="AP298" s="197"/>
      <c r="AQ298" s="197"/>
      <c r="AR298" s="197"/>
      <c r="AS298" s="197"/>
      <c r="AT298" s="197"/>
      <c r="AU298" s="197"/>
      <c r="AV298" s="197"/>
      <c r="AW298" s="197"/>
      <c r="AX298" s="197"/>
      <c r="AY298" s="197"/>
      <c r="AZ298" s="197"/>
      <c r="BA298" s="197"/>
      <c r="BB298" s="197"/>
      <c r="BC298" s="197"/>
      <c r="BD298" s="197"/>
      <c r="BE298" s="197"/>
      <c r="BF298" s="197"/>
      <c r="BG298" s="197"/>
      <c r="BH298" s="197"/>
      <c r="BI298" s="197"/>
      <c r="BJ298" s="197"/>
      <c r="BK298" s="197"/>
      <c r="BL298" s="197"/>
      <c r="BM298" s="197"/>
      <c r="BN298" s="197"/>
      <c r="BO298" s="197"/>
      <c r="BP298" s="197"/>
      <c r="BQ298" s="197"/>
      <c r="BR298" s="197"/>
      <c r="BS298" s="197"/>
      <c r="BT298" s="197"/>
    </row>
    <row r="299">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c r="AA299" s="197"/>
      <c r="AB299" s="197"/>
      <c r="AC299" s="197"/>
      <c r="AD299" s="197"/>
      <c r="AE299" s="197"/>
      <c r="AF299" s="197"/>
      <c r="AG299" s="197"/>
      <c r="AH299" s="197"/>
      <c r="AI299" s="197"/>
      <c r="AJ299" s="197"/>
      <c r="AK299" s="197"/>
      <c r="AL299" s="197"/>
      <c r="AM299" s="197"/>
      <c r="AN299" s="197"/>
      <c r="AO299" s="197"/>
      <c r="AP299" s="197"/>
      <c r="AQ299" s="197"/>
      <c r="AR299" s="197"/>
      <c r="AS299" s="197"/>
      <c r="AT299" s="197"/>
      <c r="AU299" s="197"/>
      <c r="AV299" s="197"/>
      <c r="AW299" s="197"/>
      <c r="AX299" s="197"/>
      <c r="AY299" s="197"/>
      <c r="AZ299" s="197"/>
      <c r="BA299" s="197"/>
      <c r="BB299" s="197"/>
      <c r="BC299" s="197"/>
      <c r="BD299" s="197"/>
      <c r="BE299" s="197"/>
      <c r="BF299" s="197"/>
      <c r="BG299" s="197"/>
      <c r="BH299" s="197"/>
      <c r="BI299" s="197"/>
      <c r="BJ299" s="197"/>
      <c r="BK299" s="197"/>
      <c r="BL299" s="197"/>
      <c r="BM299" s="197"/>
      <c r="BN299" s="197"/>
      <c r="BO299" s="197"/>
      <c r="BP299" s="197"/>
      <c r="BQ299" s="197"/>
      <c r="BR299" s="197"/>
      <c r="BS299" s="197"/>
      <c r="BT299" s="197"/>
    </row>
    <row r="300">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c r="AA300" s="197"/>
      <c r="AB300" s="197"/>
      <c r="AC300" s="197"/>
      <c r="AD300" s="197"/>
      <c r="AE300" s="197"/>
      <c r="AF300" s="197"/>
      <c r="AG300" s="197"/>
      <c r="AH300" s="197"/>
      <c r="AI300" s="197"/>
      <c r="AJ300" s="197"/>
      <c r="AK300" s="197"/>
      <c r="AL300" s="197"/>
      <c r="AM300" s="197"/>
      <c r="AN300" s="197"/>
      <c r="AO300" s="197"/>
      <c r="AP300" s="197"/>
      <c r="AQ300" s="197"/>
      <c r="AR300" s="197"/>
      <c r="AS300" s="197"/>
      <c r="AT300" s="197"/>
      <c r="AU300" s="197"/>
      <c r="AV300" s="197"/>
      <c r="AW300" s="197"/>
      <c r="AX300" s="197"/>
      <c r="AY300" s="197"/>
      <c r="AZ300" s="197"/>
      <c r="BA300" s="197"/>
      <c r="BB300" s="197"/>
      <c r="BC300" s="197"/>
      <c r="BD300" s="197"/>
      <c r="BE300" s="197"/>
      <c r="BF300" s="197"/>
      <c r="BG300" s="197"/>
      <c r="BH300" s="197"/>
      <c r="BI300" s="197"/>
      <c r="BJ300" s="197"/>
      <c r="BK300" s="197"/>
      <c r="BL300" s="197"/>
      <c r="BM300" s="197"/>
      <c r="BN300" s="197"/>
      <c r="BO300" s="197"/>
      <c r="BP300" s="197"/>
      <c r="BQ300" s="197"/>
      <c r="BR300" s="197"/>
      <c r="BS300" s="197"/>
      <c r="BT300" s="197"/>
    </row>
    <row r="301">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c r="AA301" s="197"/>
      <c r="AB301" s="197"/>
      <c r="AC301" s="197"/>
      <c r="AD301" s="197"/>
      <c r="AE301" s="197"/>
      <c r="AF301" s="197"/>
      <c r="AG301" s="197"/>
      <c r="AH301" s="197"/>
      <c r="AI301" s="197"/>
      <c r="AJ301" s="197"/>
      <c r="AK301" s="197"/>
      <c r="AL301" s="197"/>
      <c r="AM301" s="197"/>
      <c r="AN301" s="197"/>
      <c r="AO301" s="197"/>
      <c r="AP301" s="197"/>
      <c r="AQ301" s="197"/>
      <c r="AR301" s="197"/>
      <c r="AS301" s="197"/>
      <c r="AT301" s="197"/>
      <c r="AU301" s="197"/>
      <c r="AV301" s="197"/>
      <c r="AW301" s="197"/>
      <c r="AX301" s="197"/>
      <c r="AY301" s="197"/>
      <c r="AZ301" s="197"/>
      <c r="BA301" s="197"/>
      <c r="BB301" s="197"/>
      <c r="BC301" s="197"/>
      <c r="BD301" s="197"/>
      <c r="BE301" s="197"/>
      <c r="BF301" s="197"/>
      <c r="BG301" s="197"/>
      <c r="BH301" s="197"/>
      <c r="BI301" s="197"/>
      <c r="BJ301" s="197"/>
      <c r="BK301" s="197"/>
      <c r="BL301" s="197"/>
      <c r="BM301" s="197"/>
      <c r="BN301" s="197"/>
      <c r="BO301" s="197"/>
      <c r="BP301" s="197"/>
      <c r="BQ301" s="197"/>
      <c r="BR301" s="197"/>
      <c r="BS301" s="197"/>
      <c r="BT301" s="197"/>
    </row>
    <row r="302">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c r="AA302" s="197"/>
      <c r="AB302" s="197"/>
      <c r="AC302" s="197"/>
      <c r="AD302" s="197"/>
      <c r="AE302" s="197"/>
      <c r="AF302" s="197"/>
      <c r="AG302" s="197"/>
      <c r="AH302" s="197"/>
      <c r="AI302" s="197"/>
      <c r="AJ302" s="197"/>
      <c r="AK302" s="197"/>
      <c r="AL302" s="197"/>
      <c r="AM302" s="197"/>
      <c r="AN302" s="197"/>
      <c r="AO302" s="197"/>
      <c r="AP302" s="197"/>
      <c r="AQ302" s="197"/>
      <c r="AR302" s="197"/>
      <c r="AS302" s="197"/>
      <c r="AT302" s="197"/>
      <c r="AU302" s="197"/>
      <c r="AV302" s="197"/>
      <c r="AW302" s="197"/>
      <c r="AX302" s="197"/>
      <c r="AY302" s="197"/>
      <c r="AZ302" s="197"/>
      <c r="BA302" s="197"/>
      <c r="BB302" s="197"/>
      <c r="BC302" s="197"/>
      <c r="BD302" s="197"/>
      <c r="BE302" s="197"/>
      <c r="BF302" s="197"/>
      <c r="BG302" s="197"/>
      <c r="BH302" s="197"/>
      <c r="BI302" s="197"/>
      <c r="BJ302" s="197"/>
      <c r="BK302" s="197"/>
      <c r="BL302" s="197"/>
      <c r="BM302" s="197"/>
      <c r="BN302" s="197"/>
      <c r="BO302" s="197"/>
      <c r="BP302" s="197"/>
      <c r="BQ302" s="197"/>
      <c r="BR302" s="197"/>
      <c r="BS302" s="197"/>
      <c r="BT302" s="197"/>
    </row>
    <row r="303">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c r="AA303" s="197"/>
      <c r="AB303" s="197"/>
      <c r="AC303" s="197"/>
      <c r="AD303" s="197"/>
      <c r="AE303" s="197"/>
      <c r="AF303" s="197"/>
      <c r="AG303" s="197"/>
      <c r="AH303" s="197"/>
      <c r="AI303" s="197"/>
      <c r="AJ303" s="197"/>
      <c r="AK303" s="197"/>
      <c r="AL303" s="197"/>
      <c r="AM303" s="197"/>
      <c r="AN303" s="197"/>
      <c r="AO303" s="197"/>
      <c r="AP303" s="197"/>
      <c r="AQ303" s="197"/>
      <c r="AR303" s="197"/>
      <c r="AS303" s="197"/>
      <c r="AT303" s="197"/>
      <c r="AU303" s="197"/>
      <c r="AV303" s="197"/>
      <c r="AW303" s="197"/>
      <c r="AX303" s="197"/>
      <c r="AY303" s="197"/>
      <c r="AZ303" s="197"/>
      <c r="BA303" s="197"/>
      <c r="BB303" s="197"/>
      <c r="BC303" s="197"/>
      <c r="BD303" s="197"/>
      <c r="BE303" s="197"/>
      <c r="BF303" s="197"/>
      <c r="BG303" s="197"/>
      <c r="BH303" s="197"/>
      <c r="BI303" s="197"/>
      <c r="BJ303" s="197"/>
      <c r="BK303" s="197"/>
      <c r="BL303" s="197"/>
      <c r="BM303" s="197"/>
      <c r="BN303" s="197"/>
      <c r="BO303" s="197"/>
      <c r="BP303" s="197"/>
      <c r="BQ303" s="197"/>
      <c r="BR303" s="197"/>
      <c r="BS303" s="197"/>
      <c r="BT303" s="197"/>
    </row>
    <row r="304">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c r="AA304" s="197"/>
      <c r="AB304" s="197"/>
      <c r="AC304" s="197"/>
      <c r="AD304" s="197"/>
      <c r="AE304" s="197"/>
      <c r="AF304" s="197"/>
      <c r="AG304" s="197"/>
      <c r="AH304" s="197"/>
      <c r="AI304" s="197"/>
      <c r="AJ304" s="197"/>
      <c r="AK304" s="197"/>
      <c r="AL304" s="197"/>
      <c r="AM304" s="197"/>
      <c r="AN304" s="197"/>
      <c r="AO304" s="197"/>
      <c r="AP304" s="197"/>
      <c r="AQ304" s="197"/>
      <c r="AR304" s="197"/>
      <c r="AS304" s="197"/>
      <c r="AT304" s="197"/>
      <c r="AU304" s="197"/>
      <c r="AV304" s="197"/>
      <c r="AW304" s="197"/>
      <c r="AX304" s="197"/>
      <c r="AY304" s="197"/>
      <c r="AZ304" s="197"/>
      <c r="BA304" s="197"/>
      <c r="BB304" s="197"/>
      <c r="BC304" s="197"/>
      <c r="BD304" s="197"/>
      <c r="BE304" s="197"/>
      <c r="BF304" s="197"/>
      <c r="BG304" s="197"/>
      <c r="BH304" s="197"/>
      <c r="BI304" s="197"/>
      <c r="BJ304" s="197"/>
      <c r="BK304" s="197"/>
      <c r="BL304" s="197"/>
      <c r="BM304" s="197"/>
      <c r="BN304" s="197"/>
      <c r="BO304" s="197"/>
      <c r="BP304" s="197"/>
      <c r="BQ304" s="197"/>
      <c r="BR304" s="197"/>
      <c r="BS304" s="197"/>
      <c r="BT304" s="197"/>
    </row>
    <row r="305">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c r="AA305" s="197"/>
      <c r="AB305" s="197"/>
      <c r="AC305" s="197"/>
      <c r="AD305" s="197"/>
      <c r="AE305" s="197"/>
      <c r="AF305" s="197"/>
      <c r="AG305" s="197"/>
      <c r="AH305" s="197"/>
      <c r="AI305" s="197"/>
      <c r="AJ305" s="197"/>
      <c r="AK305" s="197"/>
      <c r="AL305" s="197"/>
      <c r="AM305" s="197"/>
      <c r="AN305" s="197"/>
      <c r="AO305" s="197"/>
      <c r="AP305" s="197"/>
      <c r="AQ305" s="197"/>
      <c r="AR305" s="197"/>
      <c r="AS305" s="197"/>
      <c r="AT305" s="197"/>
      <c r="AU305" s="197"/>
      <c r="AV305" s="197"/>
      <c r="AW305" s="197"/>
      <c r="AX305" s="197"/>
      <c r="AY305" s="197"/>
      <c r="AZ305" s="197"/>
      <c r="BA305" s="197"/>
      <c r="BB305" s="197"/>
      <c r="BC305" s="197"/>
      <c r="BD305" s="197"/>
      <c r="BE305" s="197"/>
      <c r="BF305" s="197"/>
      <c r="BG305" s="197"/>
      <c r="BH305" s="197"/>
      <c r="BI305" s="197"/>
      <c r="BJ305" s="197"/>
      <c r="BK305" s="197"/>
      <c r="BL305" s="197"/>
      <c r="BM305" s="197"/>
      <c r="BN305" s="197"/>
      <c r="BO305" s="197"/>
      <c r="BP305" s="197"/>
      <c r="BQ305" s="197"/>
      <c r="BR305" s="197"/>
      <c r="BS305" s="197"/>
      <c r="BT305" s="197"/>
    </row>
    <row r="306">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c r="AA306" s="197"/>
      <c r="AB306" s="197"/>
      <c r="AC306" s="197"/>
      <c r="AD306" s="197"/>
      <c r="AE306" s="197"/>
      <c r="AF306" s="197"/>
      <c r="AG306" s="197"/>
      <c r="AH306" s="197"/>
      <c r="AI306" s="197"/>
      <c r="AJ306" s="197"/>
      <c r="AK306" s="197"/>
      <c r="AL306" s="197"/>
      <c r="AM306" s="197"/>
      <c r="AN306" s="197"/>
      <c r="AO306" s="197"/>
      <c r="AP306" s="197"/>
      <c r="AQ306" s="197"/>
      <c r="AR306" s="197"/>
      <c r="AS306" s="197"/>
      <c r="AT306" s="197"/>
      <c r="AU306" s="197"/>
      <c r="AV306" s="197"/>
      <c r="AW306" s="197"/>
      <c r="AX306" s="197"/>
      <c r="AY306" s="197"/>
      <c r="AZ306" s="197"/>
      <c r="BA306" s="197"/>
      <c r="BB306" s="197"/>
      <c r="BC306" s="197"/>
      <c r="BD306" s="197"/>
      <c r="BE306" s="197"/>
      <c r="BF306" s="197"/>
      <c r="BG306" s="197"/>
      <c r="BH306" s="197"/>
      <c r="BI306" s="197"/>
      <c r="BJ306" s="197"/>
      <c r="BK306" s="197"/>
      <c r="BL306" s="197"/>
      <c r="BM306" s="197"/>
      <c r="BN306" s="197"/>
      <c r="BO306" s="197"/>
      <c r="BP306" s="197"/>
      <c r="BQ306" s="197"/>
      <c r="BR306" s="197"/>
      <c r="BS306" s="197"/>
      <c r="BT306" s="197"/>
    </row>
    <row r="307">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c r="AA307" s="197"/>
      <c r="AB307" s="197"/>
      <c r="AC307" s="197"/>
      <c r="AD307" s="197"/>
      <c r="AE307" s="197"/>
      <c r="AF307" s="197"/>
      <c r="AG307" s="197"/>
      <c r="AH307" s="197"/>
      <c r="AI307" s="197"/>
      <c r="AJ307" s="197"/>
      <c r="AK307" s="197"/>
      <c r="AL307" s="197"/>
      <c r="AM307" s="197"/>
      <c r="AN307" s="197"/>
      <c r="AO307" s="197"/>
      <c r="AP307" s="197"/>
      <c r="AQ307" s="197"/>
      <c r="AR307" s="197"/>
      <c r="AS307" s="197"/>
      <c r="AT307" s="197"/>
      <c r="AU307" s="197"/>
      <c r="AV307" s="197"/>
      <c r="AW307" s="197"/>
      <c r="AX307" s="197"/>
      <c r="AY307" s="197"/>
      <c r="AZ307" s="197"/>
      <c r="BA307" s="197"/>
      <c r="BB307" s="197"/>
      <c r="BC307" s="197"/>
      <c r="BD307" s="197"/>
      <c r="BE307" s="197"/>
      <c r="BF307" s="197"/>
      <c r="BG307" s="197"/>
      <c r="BH307" s="197"/>
      <c r="BI307" s="197"/>
      <c r="BJ307" s="197"/>
      <c r="BK307" s="197"/>
      <c r="BL307" s="197"/>
      <c r="BM307" s="197"/>
      <c r="BN307" s="197"/>
      <c r="BO307" s="197"/>
      <c r="BP307" s="197"/>
      <c r="BQ307" s="197"/>
      <c r="BR307" s="197"/>
      <c r="BS307" s="197"/>
      <c r="BT307" s="197"/>
    </row>
    <row r="308">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c r="AA308" s="197"/>
      <c r="AB308" s="197"/>
      <c r="AC308" s="197"/>
      <c r="AD308" s="197"/>
      <c r="AE308" s="197"/>
      <c r="AF308" s="197"/>
      <c r="AG308" s="197"/>
      <c r="AH308" s="197"/>
      <c r="AI308" s="197"/>
      <c r="AJ308" s="197"/>
      <c r="AK308" s="197"/>
      <c r="AL308" s="197"/>
      <c r="AM308" s="197"/>
      <c r="AN308" s="197"/>
      <c r="AO308" s="197"/>
      <c r="AP308" s="197"/>
      <c r="AQ308" s="197"/>
      <c r="AR308" s="197"/>
      <c r="AS308" s="197"/>
      <c r="AT308" s="197"/>
      <c r="AU308" s="197"/>
      <c r="AV308" s="197"/>
      <c r="AW308" s="197"/>
      <c r="AX308" s="197"/>
      <c r="AY308" s="197"/>
      <c r="AZ308" s="197"/>
      <c r="BA308" s="197"/>
      <c r="BB308" s="197"/>
      <c r="BC308" s="197"/>
      <c r="BD308" s="197"/>
      <c r="BE308" s="197"/>
      <c r="BF308" s="197"/>
      <c r="BG308" s="197"/>
      <c r="BH308" s="197"/>
      <c r="BI308" s="197"/>
      <c r="BJ308" s="197"/>
      <c r="BK308" s="197"/>
      <c r="BL308" s="197"/>
      <c r="BM308" s="197"/>
      <c r="BN308" s="197"/>
      <c r="BO308" s="197"/>
      <c r="BP308" s="197"/>
      <c r="BQ308" s="197"/>
      <c r="BR308" s="197"/>
      <c r="BS308" s="197"/>
      <c r="BT308" s="197"/>
    </row>
    <row r="309">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c r="AA309" s="197"/>
      <c r="AB309" s="197"/>
      <c r="AC309" s="197"/>
      <c r="AD309" s="197"/>
      <c r="AE309" s="197"/>
      <c r="AF309" s="197"/>
      <c r="AG309" s="197"/>
      <c r="AH309" s="197"/>
      <c r="AI309" s="197"/>
      <c r="AJ309" s="197"/>
      <c r="AK309" s="197"/>
      <c r="AL309" s="197"/>
      <c r="AM309" s="197"/>
      <c r="AN309" s="197"/>
      <c r="AO309" s="197"/>
      <c r="AP309" s="197"/>
      <c r="AQ309" s="197"/>
      <c r="AR309" s="197"/>
      <c r="AS309" s="197"/>
      <c r="AT309" s="197"/>
      <c r="AU309" s="197"/>
      <c r="AV309" s="197"/>
      <c r="AW309" s="197"/>
      <c r="AX309" s="197"/>
      <c r="AY309" s="197"/>
      <c r="AZ309" s="197"/>
      <c r="BA309" s="197"/>
      <c r="BB309" s="197"/>
      <c r="BC309" s="197"/>
      <c r="BD309" s="197"/>
      <c r="BE309" s="197"/>
      <c r="BF309" s="197"/>
      <c r="BG309" s="197"/>
      <c r="BH309" s="197"/>
      <c r="BI309" s="197"/>
      <c r="BJ309" s="197"/>
      <c r="BK309" s="197"/>
      <c r="BL309" s="197"/>
      <c r="BM309" s="197"/>
      <c r="BN309" s="197"/>
      <c r="BO309" s="197"/>
      <c r="BP309" s="197"/>
      <c r="BQ309" s="197"/>
      <c r="BR309" s="197"/>
      <c r="BS309" s="197"/>
      <c r="BT309" s="197"/>
    </row>
    <row r="310">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c r="AA310" s="197"/>
      <c r="AB310" s="197"/>
      <c r="AC310" s="197"/>
      <c r="AD310" s="197"/>
      <c r="AE310" s="197"/>
      <c r="AF310" s="197"/>
      <c r="AG310" s="197"/>
      <c r="AH310" s="197"/>
      <c r="AI310" s="197"/>
      <c r="AJ310" s="197"/>
      <c r="AK310" s="197"/>
      <c r="AL310" s="197"/>
      <c r="AM310" s="197"/>
      <c r="AN310" s="197"/>
      <c r="AO310" s="197"/>
      <c r="AP310" s="197"/>
      <c r="AQ310" s="197"/>
      <c r="AR310" s="197"/>
      <c r="AS310" s="197"/>
      <c r="AT310" s="197"/>
      <c r="AU310" s="197"/>
      <c r="AV310" s="197"/>
      <c r="AW310" s="197"/>
      <c r="AX310" s="197"/>
      <c r="AY310" s="197"/>
      <c r="AZ310" s="197"/>
      <c r="BA310" s="197"/>
      <c r="BB310" s="197"/>
      <c r="BC310" s="197"/>
      <c r="BD310" s="197"/>
      <c r="BE310" s="197"/>
      <c r="BF310" s="197"/>
      <c r="BG310" s="197"/>
      <c r="BH310" s="197"/>
      <c r="BI310" s="197"/>
      <c r="BJ310" s="197"/>
      <c r="BK310" s="197"/>
      <c r="BL310" s="197"/>
      <c r="BM310" s="197"/>
      <c r="BN310" s="197"/>
      <c r="BO310" s="197"/>
      <c r="BP310" s="197"/>
      <c r="BQ310" s="197"/>
      <c r="BR310" s="197"/>
      <c r="BS310" s="197"/>
      <c r="BT310" s="197"/>
    </row>
    <row r="311">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c r="AA311" s="197"/>
      <c r="AB311" s="197"/>
      <c r="AC311" s="197"/>
      <c r="AD311" s="197"/>
      <c r="AE311" s="197"/>
      <c r="AF311" s="197"/>
      <c r="AG311" s="197"/>
      <c r="AH311" s="197"/>
      <c r="AI311" s="197"/>
      <c r="AJ311" s="197"/>
      <c r="AK311" s="197"/>
      <c r="AL311" s="197"/>
      <c r="AM311" s="197"/>
      <c r="AN311" s="197"/>
      <c r="AO311" s="197"/>
      <c r="AP311" s="197"/>
      <c r="AQ311" s="197"/>
      <c r="AR311" s="197"/>
      <c r="AS311" s="197"/>
      <c r="AT311" s="197"/>
      <c r="AU311" s="197"/>
      <c r="AV311" s="197"/>
      <c r="AW311" s="197"/>
      <c r="AX311" s="197"/>
      <c r="AY311" s="197"/>
      <c r="AZ311" s="197"/>
      <c r="BA311" s="197"/>
      <c r="BB311" s="197"/>
      <c r="BC311" s="197"/>
      <c r="BD311" s="197"/>
      <c r="BE311" s="197"/>
      <c r="BF311" s="197"/>
      <c r="BG311" s="197"/>
      <c r="BH311" s="197"/>
      <c r="BI311" s="197"/>
      <c r="BJ311" s="197"/>
      <c r="BK311" s="197"/>
      <c r="BL311" s="197"/>
      <c r="BM311" s="197"/>
      <c r="BN311" s="197"/>
      <c r="BO311" s="197"/>
      <c r="BP311" s="197"/>
      <c r="BQ311" s="197"/>
      <c r="BR311" s="197"/>
      <c r="BS311" s="197"/>
      <c r="BT311" s="197"/>
    </row>
    <row r="312">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c r="AA312" s="197"/>
      <c r="AB312" s="197"/>
      <c r="AC312" s="197"/>
      <c r="AD312" s="197"/>
      <c r="AE312" s="197"/>
      <c r="AF312" s="197"/>
      <c r="AG312" s="197"/>
      <c r="AH312" s="197"/>
      <c r="AI312" s="197"/>
      <c r="AJ312" s="197"/>
      <c r="AK312" s="197"/>
      <c r="AL312" s="197"/>
      <c r="AM312" s="197"/>
      <c r="AN312" s="197"/>
      <c r="AO312" s="197"/>
      <c r="AP312" s="197"/>
      <c r="AQ312" s="197"/>
      <c r="AR312" s="197"/>
      <c r="AS312" s="197"/>
      <c r="AT312" s="197"/>
      <c r="AU312" s="197"/>
      <c r="AV312" s="197"/>
      <c r="AW312" s="197"/>
      <c r="AX312" s="197"/>
      <c r="AY312" s="197"/>
      <c r="AZ312" s="197"/>
      <c r="BA312" s="197"/>
      <c r="BB312" s="197"/>
      <c r="BC312" s="197"/>
      <c r="BD312" s="197"/>
      <c r="BE312" s="197"/>
      <c r="BF312" s="197"/>
      <c r="BG312" s="197"/>
      <c r="BH312" s="197"/>
      <c r="BI312" s="197"/>
      <c r="BJ312" s="197"/>
      <c r="BK312" s="197"/>
      <c r="BL312" s="197"/>
      <c r="BM312" s="197"/>
      <c r="BN312" s="197"/>
      <c r="BO312" s="197"/>
      <c r="BP312" s="197"/>
      <c r="BQ312" s="197"/>
      <c r="BR312" s="197"/>
      <c r="BS312" s="197"/>
      <c r="BT312" s="197"/>
    </row>
    <row r="313">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c r="AA313" s="197"/>
      <c r="AB313" s="197"/>
      <c r="AC313" s="197"/>
      <c r="AD313" s="197"/>
      <c r="AE313" s="197"/>
      <c r="AF313" s="197"/>
      <c r="AG313" s="197"/>
      <c r="AH313" s="197"/>
      <c r="AI313" s="197"/>
      <c r="AJ313" s="197"/>
      <c r="AK313" s="197"/>
      <c r="AL313" s="197"/>
      <c r="AM313" s="197"/>
      <c r="AN313" s="197"/>
      <c r="AO313" s="197"/>
      <c r="AP313" s="197"/>
      <c r="AQ313" s="197"/>
      <c r="AR313" s="197"/>
      <c r="AS313" s="197"/>
      <c r="AT313" s="197"/>
      <c r="AU313" s="197"/>
      <c r="AV313" s="197"/>
      <c r="AW313" s="197"/>
      <c r="AX313" s="197"/>
      <c r="AY313" s="197"/>
      <c r="AZ313" s="197"/>
      <c r="BA313" s="197"/>
      <c r="BB313" s="197"/>
      <c r="BC313" s="197"/>
      <c r="BD313" s="197"/>
      <c r="BE313" s="197"/>
      <c r="BF313" s="197"/>
      <c r="BG313" s="197"/>
      <c r="BH313" s="197"/>
      <c r="BI313" s="197"/>
      <c r="BJ313" s="197"/>
      <c r="BK313" s="197"/>
      <c r="BL313" s="197"/>
      <c r="BM313" s="197"/>
      <c r="BN313" s="197"/>
      <c r="BO313" s="197"/>
      <c r="BP313" s="197"/>
      <c r="BQ313" s="197"/>
      <c r="BR313" s="197"/>
      <c r="BS313" s="197"/>
      <c r="BT313" s="197"/>
    </row>
    <row r="314">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c r="AA314" s="197"/>
      <c r="AB314" s="197"/>
      <c r="AC314" s="197"/>
      <c r="AD314" s="197"/>
      <c r="AE314" s="197"/>
      <c r="AF314" s="197"/>
      <c r="AG314" s="197"/>
      <c r="AH314" s="197"/>
      <c r="AI314" s="197"/>
      <c r="AJ314" s="197"/>
      <c r="AK314" s="197"/>
      <c r="AL314" s="197"/>
      <c r="AM314" s="197"/>
      <c r="AN314" s="197"/>
      <c r="AO314" s="197"/>
      <c r="AP314" s="197"/>
      <c r="AQ314" s="197"/>
      <c r="AR314" s="197"/>
      <c r="AS314" s="197"/>
      <c r="AT314" s="197"/>
      <c r="AU314" s="197"/>
      <c r="AV314" s="197"/>
      <c r="AW314" s="197"/>
      <c r="AX314" s="197"/>
      <c r="AY314" s="197"/>
      <c r="AZ314" s="197"/>
      <c r="BA314" s="197"/>
      <c r="BB314" s="197"/>
      <c r="BC314" s="197"/>
      <c r="BD314" s="197"/>
      <c r="BE314" s="197"/>
      <c r="BF314" s="197"/>
      <c r="BG314" s="197"/>
      <c r="BH314" s="197"/>
      <c r="BI314" s="197"/>
      <c r="BJ314" s="197"/>
      <c r="BK314" s="197"/>
      <c r="BL314" s="197"/>
      <c r="BM314" s="197"/>
      <c r="BN314" s="197"/>
      <c r="BO314" s="197"/>
      <c r="BP314" s="197"/>
      <c r="BQ314" s="197"/>
      <c r="BR314" s="197"/>
      <c r="BS314" s="197"/>
      <c r="BT314" s="197"/>
    </row>
    <row r="315">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c r="AA315" s="197"/>
      <c r="AB315" s="197"/>
      <c r="AC315" s="197"/>
      <c r="AD315" s="197"/>
      <c r="AE315" s="197"/>
      <c r="AF315" s="197"/>
      <c r="AG315" s="197"/>
      <c r="AH315" s="197"/>
      <c r="AI315" s="197"/>
      <c r="AJ315" s="197"/>
      <c r="AK315" s="197"/>
      <c r="AL315" s="197"/>
      <c r="AM315" s="197"/>
      <c r="AN315" s="197"/>
      <c r="AO315" s="197"/>
      <c r="AP315" s="197"/>
      <c r="AQ315" s="197"/>
      <c r="AR315" s="197"/>
      <c r="AS315" s="197"/>
      <c r="AT315" s="197"/>
      <c r="AU315" s="197"/>
      <c r="AV315" s="197"/>
      <c r="AW315" s="197"/>
      <c r="AX315" s="197"/>
      <c r="AY315" s="197"/>
      <c r="AZ315" s="197"/>
      <c r="BA315" s="197"/>
      <c r="BB315" s="197"/>
      <c r="BC315" s="197"/>
      <c r="BD315" s="197"/>
      <c r="BE315" s="197"/>
      <c r="BF315" s="197"/>
      <c r="BG315" s="197"/>
      <c r="BH315" s="197"/>
      <c r="BI315" s="197"/>
      <c r="BJ315" s="197"/>
      <c r="BK315" s="197"/>
      <c r="BL315" s="197"/>
      <c r="BM315" s="197"/>
      <c r="BN315" s="197"/>
      <c r="BO315" s="197"/>
      <c r="BP315" s="197"/>
      <c r="BQ315" s="197"/>
      <c r="BR315" s="197"/>
      <c r="BS315" s="197"/>
      <c r="BT315" s="197"/>
    </row>
    <row r="316">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c r="AA316" s="197"/>
      <c r="AB316" s="197"/>
      <c r="AC316" s="197"/>
      <c r="AD316" s="197"/>
      <c r="AE316" s="197"/>
      <c r="AF316" s="197"/>
      <c r="AG316" s="197"/>
      <c r="AH316" s="197"/>
      <c r="AI316" s="197"/>
      <c r="AJ316" s="197"/>
      <c r="AK316" s="197"/>
      <c r="AL316" s="197"/>
      <c r="AM316" s="197"/>
      <c r="AN316" s="197"/>
      <c r="AO316" s="197"/>
      <c r="AP316" s="197"/>
      <c r="AQ316" s="197"/>
      <c r="AR316" s="197"/>
      <c r="AS316" s="197"/>
      <c r="AT316" s="197"/>
      <c r="AU316" s="197"/>
      <c r="AV316" s="197"/>
      <c r="AW316" s="197"/>
      <c r="AX316" s="197"/>
      <c r="AY316" s="197"/>
      <c r="AZ316" s="197"/>
      <c r="BA316" s="197"/>
      <c r="BB316" s="197"/>
      <c r="BC316" s="197"/>
      <c r="BD316" s="197"/>
      <c r="BE316" s="197"/>
      <c r="BF316" s="197"/>
      <c r="BG316" s="197"/>
      <c r="BH316" s="197"/>
      <c r="BI316" s="197"/>
      <c r="BJ316" s="197"/>
      <c r="BK316" s="197"/>
      <c r="BL316" s="197"/>
      <c r="BM316" s="197"/>
      <c r="BN316" s="197"/>
      <c r="BO316" s="197"/>
      <c r="BP316" s="197"/>
      <c r="BQ316" s="197"/>
      <c r="BR316" s="197"/>
      <c r="BS316" s="197"/>
      <c r="BT316" s="197"/>
    </row>
    <row r="317">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c r="AA317" s="197"/>
      <c r="AB317" s="197"/>
      <c r="AC317" s="197"/>
      <c r="AD317" s="197"/>
      <c r="AE317" s="197"/>
      <c r="AF317" s="197"/>
      <c r="AG317" s="197"/>
      <c r="AH317" s="197"/>
      <c r="AI317" s="197"/>
      <c r="AJ317" s="197"/>
      <c r="AK317" s="197"/>
      <c r="AL317" s="197"/>
      <c r="AM317" s="197"/>
      <c r="AN317" s="197"/>
      <c r="AO317" s="197"/>
      <c r="AP317" s="197"/>
      <c r="AQ317" s="197"/>
      <c r="AR317" s="197"/>
      <c r="AS317" s="197"/>
      <c r="AT317" s="197"/>
      <c r="AU317" s="197"/>
      <c r="AV317" s="197"/>
      <c r="AW317" s="197"/>
      <c r="AX317" s="197"/>
      <c r="AY317" s="197"/>
      <c r="AZ317" s="197"/>
      <c r="BA317" s="197"/>
      <c r="BB317" s="197"/>
      <c r="BC317" s="197"/>
      <c r="BD317" s="197"/>
      <c r="BE317" s="197"/>
      <c r="BF317" s="197"/>
      <c r="BG317" s="197"/>
      <c r="BH317" s="197"/>
      <c r="BI317" s="197"/>
      <c r="BJ317" s="197"/>
      <c r="BK317" s="197"/>
      <c r="BL317" s="197"/>
      <c r="BM317" s="197"/>
      <c r="BN317" s="197"/>
      <c r="BO317" s="197"/>
      <c r="BP317" s="197"/>
      <c r="BQ317" s="197"/>
      <c r="BR317" s="197"/>
      <c r="BS317" s="197"/>
      <c r="BT317" s="197"/>
    </row>
    <row r="318">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c r="AA318" s="197"/>
      <c r="AB318" s="197"/>
      <c r="AC318" s="197"/>
      <c r="AD318" s="197"/>
      <c r="AE318" s="197"/>
      <c r="AF318" s="197"/>
      <c r="AG318" s="197"/>
      <c r="AH318" s="197"/>
      <c r="AI318" s="197"/>
      <c r="AJ318" s="197"/>
      <c r="AK318" s="197"/>
      <c r="AL318" s="197"/>
      <c r="AM318" s="197"/>
      <c r="AN318" s="197"/>
      <c r="AO318" s="197"/>
      <c r="AP318" s="197"/>
      <c r="AQ318" s="197"/>
      <c r="AR318" s="197"/>
      <c r="AS318" s="197"/>
      <c r="AT318" s="197"/>
      <c r="AU318" s="197"/>
      <c r="AV318" s="197"/>
      <c r="AW318" s="197"/>
      <c r="AX318" s="197"/>
      <c r="AY318" s="197"/>
      <c r="AZ318" s="197"/>
      <c r="BA318" s="197"/>
      <c r="BB318" s="197"/>
      <c r="BC318" s="197"/>
      <c r="BD318" s="197"/>
      <c r="BE318" s="197"/>
      <c r="BF318" s="197"/>
      <c r="BG318" s="197"/>
      <c r="BH318" s="197"/>
      <c r="BI318" s="197"/>
      <c r="BJ318" s="197"/>
      <c r="BK318" s="197"/>
      <c r="BL318" s="197"/>
      <c r="BM318" s="197"/>
      <c r="BN318" s="197"/>
      <c r="BO318" s="197"/>
      <c r="BP318" s="197"/>
      <c r="BQ318" s="197"/>
      <c r="BR318" s="197"/>
      <c r="BS318" s="197"/>
      <c r="BT318" s="197"/>
    </row>
    <row r="319">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c r="AA319" s="197"/>
      <c r="AB319" s="197"/>
      <c r="AC319" s="197"/>
      <c r="AD319" s="197"/>
      <c r="AE319" s="197"/>
      <c r="AF319" s="197"/>
      <c r="AG319" s="197"/>
      <c r="AH319" s="197"/>
      <c r="AI319" s="197"/>
      <c r="AJ319" s="197"/>
      <c r="AK319" s="197"/>
      <c r="AL319" s="197"/>
      <c r="AM319" s="197"/>
      <c r="AN319" s="197"/>
      <c r="AO319" s="197"/>
      <c r="AP319" s="197"/>
      <c r="AQ319" s="197"/>
      <c r="AR319" s="197"/>
      <c r="AS319" s="197"/>
      <c r="AT319" s="197"/>
      <c r="AU319" s="197"/>
      <c r="AV319" s="197"/>
      <c r="AW319" s="197"/>
      <c r="AX319" s="197"/>
      <c r="AY319" s="197"/>
      <c r="AZ319" s="197"/>
      <c r="BA319" s="197"/>
      <c r="BB319" s="197"/>
      <c r="BC319" s="197"/>
      <c r="BD319" s="197"/>
      <c r="BE319" s="197"/>
      <c r="BF319" s="197"/>
      <c r="BG319" s="197"/>
      <c r="BH319" s="197"/>
      <c r="BI319" s="197"/>
      <c r="BJ319" s="197"/>
      <c r="BK319" s="197"/>
      <c r="BL319" s="197"/>
      <c r="BM319" s="197"/>
      <c r="BN319" s="197"/>
      <c r="BO319" s="197"/>
      <c r="BP319" s="197"/>
      <c r="BQ319" s="197"/>
      <c r="BR319" s="197"/>
      <c r="BS319" s="197"/>
      <c r="BT319" s="197"/>
    </row>
    <row r="320">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c r="AA320" s="197"/>
      <c r="AB320" s="197"/>
      <c r="AC320" s="197"/>
      <c r="AD320" s="197"/>
      <c r="AE320" s="197"/>
      <c r="AF320" s="197"/>
      <c r="AG320" s="197"/>
      <c r="AH320" s="197"/>
      <c r="AI320" s="197"/>
      <c r="AJ320" s="197"/>
      <c r="AK320" s="197"/>
      <c r="AL320" s="197"/>
      <c r="AM320" s="197"/>
      <c r="AN320" s="197"/>
      <c r="AO320" s="197"/>
      <c r="AP320" s="197"/>
      <c r="AQ320" s="197"/>
      <c r="AR320" s="197"/>
      <c r="AS320" s="197"/>
      <c r="AT320" s="197"/>
      <c r="AU320" s="197"/>
      <c r="AV320" s="197"/>
      <c r="AW320" s="197"/>
      <c r="AX320" s="197"/>
      <c r="AY320" s="197"/>
      <c r="AZ320" s="197"/>
      <c r="BA320" s="197"/>
      <c r="BB320" s="197"/>
      <c r="BC320" s="197"/>
      <c r="BD320" s="197"/>
      <c r="BE320" s="197"/>
      <c r="BF320" s="197"/>
      <c r="BG320" s="197"/>
      <c r="BH320" s="197"/>
      <c r="BI320" s="197"/>
      <c r="BJ320" s="197"/>
      <c r="BK320" s="197"/>
      <c r="BL320" s="197"/>
      <c r="BM320" s="197"/>
      <c r="BN320" s="197"/>
      <c r="BO320" s="197"/>
      <c r="BP320" s="197"/>
      <c r="BQ320" s="197"/>
      <c r="BR320" s="197"/>
      <c r="BS320" s="197"/>
      <c r="BT320" s="197"/>
    </row>
    <row r="321">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c r="AA321" s="197"/>
      <c r="AB321" s="197"/>
      <c r="AC321" s="197"/>
      <c r="AD321" s="197"/>
      <c r="AE321" s="197"/>
      <c r="AF321" s="197"/>
      <c r="AG321" s="197"/>
      <c r="AH321" s="197"/>
      <c r="AI321" s="197"/>
      <c r="AJ321" s="197"/>
      <c r="AK321" s="197"/>
      <c r="AL321" s="197"/>
      <c r="AM321" s="197"/>
      <c r="AN321" s="197"/>
      <c r="AO321" s="197"/>
      <c r="AP321" s="197"/>
      <c r="AQ321" s="197"/>
      <c r="AR321" s="197"/>
      <c r="AS321" s="197"/>
      <c r="AT321" s="197"/>
      <c r="AU321" s="197"/>
      <c r="AV321" s="197"/>
      <c r="AW321" s="197"/>
      <c r="AX321" s="197"/>
      <c r="AY321" s="197"/>
      <c r="AZ321" s="197"/>
      <c r="BA321" s="197"/>
      <c r="BB321" s="197"/>
      <c r="BC321" s="197"/>
      <c r="BD321" s="197"/>
      <c r="BE321" s="197"/>
      <c r="BF321" s="197"/>
      <c r="BG321" s="197"/>
      <c r="BH321" s="197"/>
      <c r="BI321" s="197"/>
      <c r="BJ321" s="197"/>
      <c r="BK321" s="197"/>
      <c r="BL321" s="197"/>
      <c r="BM321" s="197"/>
      <c r="BN321" s="197"/>
      <c r="BO321" s="197"/>
      <c r="BP321" s="197"/>
      <c r="BQ321" s="197"/>
      <c r="BR321" s="197"/>
      <c r="BS321" s="197"/>
      <c r="BT321" s="197"/>
    </row>
    <row r="322">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c r="AA322" s="197"/>
      <c r="AB322" s="197"/>
      <c r="AC322" s="197"/>
      <c r="AD322" s="197"/>
      <c r="AE322" s="197"/>
      <c r="AF322" s="197"/>
      <c r="AG322" s="197"/>
      <c r="AH322" s="197"/>
      <c r="AI322" s="197"/>
      <c r="AJ322" s="197"/>
      <c r="AK322" s="197"/>
      <c r="AL322" s="197"/>
      <c r="AM322" s="197"/>
      <c r="AN322" s="197"/>
      <c r="AO322" s="197"/>
      <c r="AP322" s="197"/>
      <c r="AQ322" s="197"/>
      <c r="AR322" s="197"/>
      <c r="AS322" s="197"/>
      <c r="AT322" s="197"/>
      <c r="AU322" s="197"/>
      <c r="AV322" s="197"/>
      <c r="AW322" s="197"/>
      <c r="AX322" s="197"/>
      <c r="AY322" s="197"/>
      <c r="AZ322" s="197"/>
      <c r="BA322" s="197"/>
      <c r="BB322" s="197"/>
      <c r="BC322" s="197"/>
      <c r="BD322" s="197"/>
      <c r="BE322" s="197"/>
      <c r="BF322" s="197"/>
      <c r="BG322" s="197"/>
      <c r="BH322" s="197"/>
      <c r="BI322" s="197"/>
      <c r="BJ322" s="197"/>
      <c r="BK322" s="197"/>
      <c r="BL322" s="197"/>
      <c r="BM322" s="197"/>
      <c r="BN322" s="197"/>
      <c r="BO322" s="197"/>
      <c r="BP322" s="197"/>
      <c r="BQ322" s="197"/>
      <c r="BR322" s="197"/>
      <c r="BS322" s="197"/>
      <c r="BT322" s="197"/>
    </row>
    <row r="323">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c r="AA323" s="197"/>
      <c r="AB323" s="197"/>
      <c r="AC323" s="197"/>
      <c r="AD323" s="197"/>
      <c r="AE323" s="197"/>
      <c r="AF323" s="197"/>
      <c r="AG323" s="197"/>
      <c r="AH323" s="197"/>
      <c r="AI323" s="197"/>
      <c r="AJ323" s="197"/>
      <c r="AK323" s="197"/>
      <c r="AL323" s="197"/>
      <c r="AM323" s="197"/>
      <c r="AN323" s="197"/>
      <c r="AO323" s="197"/>
      <c r="AP323" s="197"/>
      <c r="AQ323" s="197"/>
      <c r="AR323" s="197"/>
      <c r="AS323" s="197"/>
      <c r="AT323" s="197"/>
      <c r="AU323" s="197"/>
      <c r="AV323" s="197"/>
      <c r="AW323" s="197"/>
      <c r="AX323" s="197"/>
      <c r="AY323" s="197"/>
      <c r="AZ323" s="197"/>
      <c r="BA323" s="197"/>
      <c r="BB323" s="197"/>
      <c r="BC323" s="197"/>
      <c r="BD323" s="197"/>
      <c r="BE323" s="197"/>
      <c r="BF323" s="197"/>
      <c r="BG323" s="197"/>
      <c r="BH323" s="197"/>
      <c r="BI323" s="197"/>
      <c r="BJ323" s="197"/>
      <c r="BK323" s="197"/>
      <c r="BL323" s="197"/>
      <c r="BM323" s="197"/>
      <c r="BN323" s="197"/>
      <c r="BO323" s="197"/>
      <c r="BP323" s="197"/>
      <c r="BQ323" s="197"/>
      <c r="BR323" s="197"/>
      <c r="BS323" s="197"/>
      <c r="BT323" s="197"/>
    </row>
    <row r="324">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c r="AA324" s="197"/>
      <c r="AB324" s="197"/>
      <c r="AC324" s="197"/>
      <c r="AD324" s="197"/>
      <c r="AE324" s="197"/>
      <c r="AF324" s="197"/>
      <c r="AG324" s="197"/>
      <c r="AH324" s="197"/>
      <c r="AI324" s="197"/>
      <c r="AJ324" s="197"/>
      <c r="AK324" s="197"/>
      <c r="AL324" s="197"/>
      <c r="AM324" s="197"/>
      <c r="AN324" s="197"/>
      <c r="AO324" s="197"/>
      <c r="AP324" s="197"/>
      <c r="AQ324" s="197"/>
      <c r="AR324" s="197"/>
      <c r="AS324" s="197"/>
      <c r="AT324" s="197"/>
      <c r="AU324" s="197"/>
      <c r="AV324" s="197"/>
      <c r="AW324" s="197"/>
      <c r="AX324" s="197"/>
      <c r="AY324" s="197"/>
      <c r="AZ324" s="197"/>
      <c r="BA324" s="197"/>
      <c r="BB324" s="197"/>
      <c r="BC324" s="197"/>
      <c r="BD324" s="197"/>
      <c r="BE324" s="197"/>
      <c r="BF324" s="197"/>
      <c r="BG324" s="197"/>
      <c r="BH324" s="197"/>
      <c r="BI324" s="197"/>
      <c r="BJ324" s="197"/>
      <c r="BK324" s="197"/>
      <c r="BL324" s="197"/>
      <c r="BM324" s="197"/>
      <c r="BN324" s="197"/>
      <c r="BO324" s="197"/>
      <c r="BP324" s="197"/>
      <c r="BQ324" s="197"/>
      <c r="BR324" s="197"/>
      <c r="BS324" s="197"/>
      <c r="BT324" s="197"/>
    </row>
    <row r="325">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c r="AA325" s="197"/>
      <c r="AB325" s="197"/>
      <c r="AC325" s="197"/>
      <c r="AD325" s="197"/>
      <c r="AE325" s="197"/>
      <c r="AF325" s="197"/>
      <c r="AG325" s="197"/>
      <c r="AH325" s="197"/>
      <c r="AI325" s="197"/>
      <c r="AJ325" s="197"/>
      <c r="AK325" s="197"/>
      <c r="AL325" s="197"/>
      <c r="AM325" s="197"/>
      <c r="AN325" s="197"/>
      <c r="AO325" s="197"/>
      <c r="AP325" s="197"/>
      <c r="AQ325" s="197"/>
      <c r="AR325" s="197"/>
      <c r="AS325" s="197"/>
      <c r="AT325" s="197"/>
      <c r="AU325" s="197"/>
      <c r="AV325" s="197"/>
      <c r="AW325" s="197"/>
      <c r="AX325" s="197"/>
      <c r="AY325" s="197"/>
      <c r="AZ325" s="197"/>
      <c r="BA325" s="197"/>
      <c r="BB325" s="197"/>
      <c r="BC325" s="197"/>
      <c r="BD325" s="197"/>
      <c r="BE325" s="197"/>
      <c r="BF325" s="197"/>
      <c r="BG325" s="197"/>
      <c r="BH325" s="197"/>
      <c r="BI325" s="197"/>
      <c r="BJ325" s="197"/>
      <c r="BK325" s="197"/>
      <c r="BL325" s="197"/>
      <c r="BM325" s="197"/>
      <c r="BN325" s="197"/>
      <c r="BO325" s="197"/>
      <c r="BP325" s="197"/>
      <c r="BQ325" s="197"/>
      <c r="BR325" s="197"/>
      <c r="BS325" s="197"/>
      <c r="BT325" s="197"/>
    </row>
    <row r="326">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c r="AA326" s="197"/>
      <c r="AB326" s="197"/>
      <c r="AC326" s="197"/>
      <c r="AD326" s="197"/>
      <c r="AE326" s="197"/>
      <c r="AF326" s="197"/>
      <c r="AG326" s="197"/>
      <c r="AH326" s="197"/>
      <c r="AI326" s="197"/>
      <c r="AJ326" s="197"/>
      <c r="AK326" s="197"/>
      <c r="AL326" s="197"/>
      <c r="AM326" s="197"/>
      <c r="AN326" s="197"/>
      <c r="AO326" s="197"/>
      <c r="AP326" s="197"/>
      <c r="AQ326" s="197"/>
      <c r="AR326" s="197"/>
      <c r="AS326" s="197"/>
      <c r="AT326" s="197"/>
      <c r="AU326" s="197"/>
      <c r="AV326" s="197"/>
      <c r="AW326" s="197"/>
      <c r="AX326" s="197"/>
      <c r="AY326" s="197"/>
      <c r="AZ326" s="197"/>
      <c r="BA326" s="197"/>
      <c r="BB326" s="197"/>
      <c r="BC326" s="197"/>
      <c r="BD326" s="197"/>
      <c r="BE326" s="197"/>
      <c r="BF326" s="197"/>
      <c r="BG326" s="197"/>
      <c r="BH326" s="197"/>
      <c r="BI326" s="197"/>
      <c r="BJ326" s="197"/>
      <c r="BK326" s="197"/>
      <c r="BL326" s="197"/>
      <c r="BM326" s="197"/>
      <c r="BN326" s="197"/>
      <c r="BO326" s="197"/>
      <c r="BP326" s="197"/>
      <c r="BQ326" s="197"/>
      <c r="BR326" s="197"/>
      <c r="BS326" s="197"/>
      <c r="BT326" s="197"/>
    </row>
    <row r="327">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c r="AA327" s="197"/>
      <c r="AB327" s="197"/>
      <c r="AC327" s="197"/>
      <c r="AD327" s="197"/>
      <c r="AE327" s="197"/>
      <c r="AF327" s="197"/>
      <c r="AG327" s="197"/>
      <c r="AH327" s="197"/>
      <c r="AI327" s="197"/>
      <c r="AJ327" s="197"/>
      <c r="AK327" s="197"/>
      <c r="AL327" s="197"/>
      <c r="AM327" s="197"/>
      <c r="AN327" s="197"/>
      <c r="AO327" s="197"/>
      <c r="AP327" s="197"/>
      <c r="AQ327" s="197"/>
      <c r="AR327" s="197"/>
      <c r="AS327" s="197"/>
      <c r="AT327" s="197"/>
      <c r="AU327" s="197"/>
      <c r="AV327" s="197"/>
      <c r="AW327" s="197"/>
      <c r="AX327" s="197"/>
      <c r="AY327" s="197"/>
      <c r="AZ327" s="197"/>
      <c r="BA327" s="197"/>
      <c r="BB327" s="197"/>
      <c r="BC327" s="197"/>
      <c r="BD327" s="197"/>
      <c r="BE327" s="197"/>
      <c r="BF327" s="197"/>
      <c r="BG327" s="197"/>
      <c r="BH327" s="197"/>
      <c r="BI327" s="197"/>
      <c r="BJ327" s="197"/>
      <c r="BK327" s="197"/>
      <c r="BL327" s="197"/>
      <c r="BM327" s="197"/>
      <c r="BN327" s="197"/>
      <c r="BO327" s="197"/>
      <c r="BP327" s="197"/>
      <c r="BQ327" s="197"/>
      <c r="BR327" s="197"/>
      <c r="BS327" s="197"/>
      <c r="BT327" s="197"/>
    </row>
    <row r="328">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c r="AA328" s="197"/>
      <c r="AB328" s="197"/>
      <c r="AC328" s="197"/>
      <c r="AD328" s="197"/>
      <c r="AE328" s="197"/>
      <c r="AF328" s="197"/>
      <c r="AG328" s="197"/>
      <c r="AH328" s="197"/>
      <c r="AI328" s="197"/>
      <c r="AJ328" s="197"/>
      <c r="AK328" s="197"/>
      <c r="AL328" s="197"/>
      <c r="AM328" s="197"/>
      <c r="AN328" s="197"/>
      <c r="AO328" s="197"/>
      <c r="AP328" s="197"/>
      <c r="AQ328" s="197"/>
      <c r="AR328" s="197"/>
      <c r="AS328" s="197"/>
      <c r="AT328" s="197"/>
      <c r="AU328" s="197"/>
      <c r="AV328" s="197"/>
      <c r="AW328" s="197"/>
      <c r="AX328" s="197"/>
      <c r="AY328" s="197"/>
      <c r="AZ328" s="197"/>
      <c r="BA328" s="197"/>
      <c r="BB328" s="197"/>
      <c r="BC328" s="197"/>
      <c r="BD328" s="197"/>
      <c r="BE328" s="197"/>
      <c r="BF328" s="197"/>
      <c r="BG328" s="197"/>
      <c r="BH328" s="197"/>
      <c r="BI328" s="197"/>
      <c r="BJ328" s="197"/>
      <c r="BK328" s="197"/>
      <c r="BL328" s="197"/>
      <c r="BM328" s="197"/>
      <c r="BN328" s="197"/>
      <c r="BO328" s="197"/>
      <c r="BP328" s="197"/>
      <c r="BQ328" s="197"/>
      <c r="BR328" s="197"/>
      <c r="BS328" s="197"/>
      <c r="BT328" s="197"/>
    </row>
    <row r="329">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c r="AA329" s="197"/>
      <c r="AB329" s="197"/>
      <c r="AC329" s="197"/>
      <c r="AD329" s="197"/>
      <c r="AE329" s="197"/>
      <c r="AF329" s="197"/>
      <c r="AG329" s="197"/>
      <c r="AH329" s="197"/>
      <c r="AI329" s="197"/>
      <c r="AJ329" s="197"/>
      <c r="AK329" s="197"/>
      <c r="AL329" s="197"/>
      <c r="AM329" s="197"/>
      <c r="AN329" s="197"/>
      <c r="AO329" s="197"/>
      <c r="AP329" s="197"/>
      <c r="AQ329" s="197"/>
      <c r="AR329" s="197"/>
      <c r="AS329" s="197"/>
      <c r="AT329" s="197"/>
      <c r="AU329" s="197"/>
      <c r="AV329" s="197"/>
      <c r="AW329" s="197"/>
      <c r="AX329" s="197"/>
      <c r="AY329" s="197"/>
      <c r="AZ329" s="197"/>
      <c r="BA329" s="197"/>
      <c r="BB329" s="197"/>
      <c r="BC329" s="197"/>
      <c r="BD329" s="197"/>
      <c r="BE329" s="197"/>
      <c r="BF329" s="197"/>
      <c r="BG329" s="197"/>
      <c r="BH329" s="197"/>
      <c r="BI329" s="197"/>
      <c r="BJ329" s="197"/>
      <c r="BK329" s="197"/>
      <c r="BL329" s="197"/>
      <c r="BM329" s="197"/>
      <c r="BN329" s="197"/>
      <c r="BO329" s="197"/>
      <c r="BP329" s="197"/>
      <c r="BQ329" s="197"/>
      <c r="BR329" s="197"/>
      <c r="BS329" s="197"/>
      <c r="BT329" s="197"/>
    </row>
    <row r="330">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c r="AA330" s="197"/>
      <c r="AB330" s="197"/>
      <c r="AC330" s="197"/>
      <c r="AD330" s="197"/>
      <c r="AE330" s="197"/>
      <c r="AF330" s="197"/>
      <c r="AG330" s="197"/>
      <c r="AH330" s="197"/>
      <c r="AI330" s="197"/>
      <c r="AJ330" s="197"/>
      <c r="AK330" s="197"/>
      <c r="AL330" s="197"/>
      <c r="AM330" s="197"/>
      <c r="AN330" s="197"/>
      <c r="AO330" s="197"/>
      <c r="AP330" s="197"/>
      <c r="AQ330" s="197"/>
      <c r="AR330" s="197"/>
      <c r="AS330" s="197"/>
      <c r="AT330" s="197"/>
      <c r="AU330" s="197"/>
      <c r="AV330" s="197"/>
      <c r="AW330" s="197"/>
      <c r="AX330" s="197"/>
      <c r="AY330" s="197"/>
      <c r="AZ330" s="197"/>
      <c r="BA330" s="197"/>
      <c r="BB330" s="197"/>
      <c r="BC330" s="197"/>
      <c r="BD330" s="197"/>
      <c r="BE330" s="197"/>
      <c r="BF330" s="197"/>
      <c r="BG330" s="197"/>
      <c r="BH330" s="197"/>
      <c r="BI330" s="197"/>
      <c r="BJ330" s="197"/>
      <c r="BK330" s="197"/>
      <c r="BL330" s="197"/>
      <c r="BM330" s="197"/>
      <c r="BN330" s="197"/>
      <c r="BO330" s="197"/>
      <c r="BP330" s="197"/>
      <c r="BQ330" s="197"/>
      <c r="BR330" s="197"/>
      <c r="BS330" s="197"/>
      <c r="BT330" s="197"/>
    </row>
    <row r="331">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c r="AA331" s="197"/>
      <c r="AB331" s="197"/>
      <c r="AC331" s="197"/>
      <c r="AD331" s="197"/>
      <c r="AE331" s="197"/>
      <c r="AF331" s="197"/>
      <c r="AG331" s="197"/>
      <c r="AH331" s="197"/>
      <c r="AI331" s="197"/>
      <c r="AJ331" s="197"/>
      <c r="AK331" s="197"/>
      <c r="AL331" s="197"/>
      <c r="AM331" s="197"/>
      <c r="AN331" s="197"/>
      <c r="AO331" s="197"/>
      <c r="AP331" s="197"/>
      <c r="AQ331" s="197"/>
      <c r="AR331" s="197"/>
      <c r="AS331" s="197"/>
      <c r="AT331" s="197"/>
      <c r="AU331" s="197"/>
      <c r="AV331" s="197"/>
      <c r="AW331" s="197"/>
      <c r="AX331" s="197"/>
      <c r="AY331" s="197"/>
      <c r="AZ331" s="197"/>
      <c r="BA331" s="197"/>
      <c r="BB331" s="197"/>
      <c r="BC331" s="197"/>
      <c r="BD331" s="197"/>
      <c r="BE331" s="197"/>
      <c r="BF331" s="197"/>
      <c r="BG331" s="197"/>
      <c r="BH331" s="197"/>
      <c r="BI331" s="197"/>
      <c r="BJ331" s="197"/>
      <c r="BK331" s="197"/>
      <c r="BL331" s="197"/>
      <c r="BM331" s="197"/>
      <c r="BN331" s="197"/>
      <c r="BO331" s="197"/>
      <c r="BP331" s="197"/>
      <c r="BQ331" s="197"/>
      <c r="BR331" s="197"/>
      <c r="BS331" s="197"/>
      <c r="BT331" s="197"/>
    </row>
    <row r="332">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7"/>
      <c r="BD332" s="197"/>
      <c r="BE332" s="197"/>
      <c r="BF332" s="197"/>
      <c r="BG332" s="197"/>
      <c r="BH332" s="197"/>
      <c r="BI332" s="197"/>
      <c r="BJ332" s="197"/>
      <c r="BK332" s="197"/>
      <c r="BL332" s="197"/>
      <c r="BM332" s="197"/>
      <c r="BN332" s="197"/>
      <c r="BO332" s="197"/>
      <c r="BP332" s="197"/>
      <c r="BQ332" s="197"/>
      <c r="BR332" s="197"/>
      <c r="BS332" s="197"/>
      <c r="BT332" s="197"/>
    </row>
    <row r="333">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c r="AA333" s="197"/>
      <c r="AB333" s="197"/>
      <c r="AC333" s="197"/>
      <c r="AD333" s="197"/>
      <c r="AE333" s="197"/>
      <c r="AF333" s="197"/>
      <c r="AG333" s="197"/>
      <c r="AH333" s="197"/>
      <c r="AI333" s="197"/>
      <c r="AJ333" s="197"/>
      <c r="AK333" s="197"/>
      <c r="AL333" s="197"/>
      <c r="AM333" s="197"/>
      <c r="AN333" s="197"/>
      <c r="AO333" s="197"/>
      <c r="AP333" s="197"/>
      <c r="AQ333" s="197"/>
      <c r="AR333" s="197"/>
      <c r="AS333" s="197"/>
      <c r="AT333" s="197"/>
      <c r="AU333" s="197"/>
      <c r="AV333" s="197"/>
      <c r="AW333" s="197"/>
      <c r="AX333" s="197"/>
      <c r="AY333" s="197"/>
      <c r="AZ333" s="197"/>
      <c r="BA333" s="197"/>
      <c r="BB333" s="197"/>
      <c r="BC333" s="197"/>
      <c r="BD333" s="197"/>
      <c r="BE333" s="197"/>
      <c r="BF333" s="197"/>
      <c r="BG333" s="197"/>
      <c r="BH333" s="197"/>
      <c r="BI333" s="197"/>
      <c r="BJ333" s="197"/>
      <c r="BK333" s="197"/>
      <c r="BL333" s="197"/>
      <c r="BM333" s="197"/>
      <c r="BN333" s="197"/>
      <c r="BO333" s="197"/>
      <c r="BP333" s="197"/>
      <c r="BQ333" s="197"/>
      <c r="BR333" s="197"/>
      <c r="BS333" s="197"/>
      <c r="BT333" s="197"/>
    </row>
    <row r="334">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c r="AA334" s="197"/>
      <c r="AB334" s="197"/>
      <c r="AC334" s="197"/>
      <c r="AD334" s="197"/>
      <c r="AE334" s="197"/>
      <c r="AF334" s="197"/>
      <c r="AG334" s="197"/>
      <c r="AH334" s="197"/>
      <c r="AI334" s="197"/>
      <c r="AJ334" s="197"/>
      <c r="AK334" s="197"/>
      <c r="AL334" s="197"/>
      <c r="AM334" s="197"/>
      <c r="AN334" s="197"/>
      <c r="AO334" s="197"/>
      <c r="AP334" s="197"/>
      <c r="AQ334" s="197"/>
      <c r="AR334" s="197"/>
      <c r="AS334" s="197"/>
      <c r="AT334" s="197"/>
      <c r="AU334" s="197"/>
      <c r="AV334" s="197"/>
      <c r="AW334" s="197"/>
      <c r="AX334" s="197"/>
      <c r="AY334" s="197"/>
      <c r="AZ334" s="197"/>
      <c r="BA334" s="197"/>
      <c r="BB334" s="197"/>
      <c r="BC334" s="197"/>
      <c r="BD334" s="197"/>
      <c r="BE334" s="197"/>
      <c r="BF334" s="197"/>
      <c r="BG334" s="197"/>
      <c r="BH334" s="197"/>
      <c r="BI334" s="197"/>
      <c r="BJ334" s="197"/>
      <c r="BK334" s="197"/>
      <c r="BL334" s="197"/>
      <c r="BM334" s="197"/>
      <c r="BN334" s="197"/>
      <c r="BO334" s="197"/>
      <c r="BP334" s="197"/>
      <c r="BQ334" s="197"/>
      <c r="BR334" s="197"/>
      <c r="BS334" s="197"/>
      <c r="BT334" s="197"/>
    </row>
    <row r="335">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c r="AA335" s="197"/>
      <c r="AB335" s="197"/>
      <c r="AC335" s="197"/>
      <c r="AD335" s="197"/>
      <c r="AE335" s="197"/>
      <c r="AF335" s="197"/>
      <c r="AG335" s="197"/>
      <c r="AH335" s="197"/>
      <c r="AI335" s="197"/>
      <c r="AJ335" s="197"/>
      <c r="AK335" s="197"/>
      <c r="AL335" s="197"/>
      <c r="AM335" s="197"/>
      <c r="AN335" s="197"/>
      <c r="AO335" s="197"/>
      <c r="AP335" s="197"/>
      <c r="AQ335" s="197"/>
      <c r="AR335" s="197"/>
      <c r="AS335" s="197"/>
      <c r="AT335" s="197"/>
      <c r="AU335" s="197"/>
      <c r="AV335" s="197"/>
      <c r="AW335" s="197"/>
      <c r="AX335" s="197"/>
      <c r="AY335" s="197"/>
      <c r="AZ335" s="197"/>
      <c r="BA335" s="197"/>
      <c r="BB335" s="197"/>
      <c r="BC335" s="197"/>
      <c r="BD335" s="197"/>
      <c r="BE335" s="197"/>
      <c r="BF335" s="197"/>
      <c r="BG335" s="197"/>
      <c r="BH335" s="197"/>
      <c r="BI335" s="197"/>
      <c r="BJ335" s="197"/>
      <c r="BK335" s="197"/>
      <c r="BL335" s="197"/>
      <c r="BM335" s="197"/>
      <c r="BN335" s="197"/>
      <c r="BO335" s="197"/>
      <c r="BP335" s="197"/>
      <c r="BQ335" s="197"/>
      <c r="BR335" s="197"/>
      <c r="BS335" s="197"/>
      <c r="BT335" s="197"/>
    </row>
    <row r="336">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c r="AA336" s="197"/>
      <c r="AB336" s="197"/>
      <c r="AC336" s="197"/>
      <c r="AD336" s="197"/>
      <c r="AE336" s="197"/>
      <c r="AF336" s="197"/>
      <c r="AG336" s="197"/>
      <c r="AH336" s="197"/>
      <c r="AI336" s="197"/>
      <c r="AJ336" s="197"/>
      <c r="AK336" s="197"/>
      <c r="AL336" s="197"/>
      <c r="AM336" s="197"/>
      <c r="AN336" s="197"/>
      <c r="AO336" s="197"/>
      <c r="AP336" s="197"/>
      <c r="AQ336" s="197"/>
      <c r="AR336" s="197"/>
      <c r="AS336" s="197"/>
      <c r="AT336" s="197"/>
      <c r="AU336" s="197"/>
      <c r="AV336" s="197"/>
      <c r="AW336" s="197"/>
      <c r="AX336" s="197"/>
      <c r="AY336" s="197"/>
      <c r="AZ336" s="197"/>
      <c r="BA336" s="197"/>
      <c r="BB336" s="197"/>
      <c r="BC336" s="197"/>
      <c r="BD336" s="197"/>
      <c r="BE336" s="197"/>
      <c r="BF336" s="197"/>
      <c r="BG336" s="197"/>
      <c r="BH336" s="197"/>
      <c r="BI336" s="197"/>
      <c r="BJ336" s="197"/>
      <c r="BK336" s="197"/>
      <c r="BL336" s="197"/>
      <c r="BM336" s="197"/>
      <c r="BN336" s="197"/>
      <c r="BO336" s="197"/>
      <c r="BP336" s="197"/>
      <c r="BQ336" s="197"/>
      <c r="BR336" s="197"/>
      <c r="BS336" s="197"/>
      <c r="BT336" s="197"/>
    </row>
    <row r="337">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c r="AA337" s="197"/>
      <c r="AB337" s="197"/>
      <c r="AC337" s="197"/>
      <c r="AD337" s="197"/>
      <c r="AE337" s="197"/>
      <c r="AF337" s="197"/>
      <c r="AG337" s="197"/>
      <c r="AH337" s="197"/>
      <c r="AI337" s="197"/>
      <c r="AJ337" s="197"/>
      <c r="AK337" s="197"/>
      <c r="AL337" s="197"/>
      <c r="AM337" s="197"/>
      <c r="AN337" s="197"/>
      <c r="AO337" s="197"/>
      <c r="AP337" s="197"/>
      <c r="AQ337" s="197"/>
      <c r="AR337" s="197"/>
      <c r="AS337" s="197"/>
      <c r="AT337" s="197"/>
      <c r="AU337" s="197"/>
      <c r="AV337" s="197"/>
      <c r="AW337" s="197"/>
      <c r="AX337" s="197"/>
      <c r="AY337" s="197"/>
      <c r="AZ337" s="197"/>
      <c r="BA337" s="197"/>
      <c r="BB337" s="197"/>
      <c r="BC337" s="197"/>
      <c r="BD337" s="197"/>
      <c r="BE337" s="197"/>
      <c r="BF337" s="197"/>
      <c r="BG337" s="197"/>
      <c r="BH337" s="197"/>
      <c r="BI337" s="197"/>
      <c r="BJ337" s="197"/>
      <c r="BK337" s="197"/>
      <c r="BL337" s="197"/>
      <c r="BM337" s="197"/>
      <c r="BN337" s="197"/>
      <c r="BO337" s="197"/>
      <c r="BP337" s="197"/>
      <c r="BQ337" s="197"/>
      <c r="BR337" s="197"/>
      <c r="BS337" s="197"/>
      <c r="BT337" s="197"/>
    </row>
    <row r="338">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c r="AA338" s="197"/>
      <c r="AB338" s="197"/>
      <c r="AC338" s="197"/>
      <c r="AD338" s="197"/>
      <c r="AE338" s="197"/>
      <c r="AF338" s="197"/>
      <c r="AG338" s="197"/>
      <c r="AH338" s="197"/>
      <c r="AI338" s="197"/>
      <c r="AJ338" s="197"/>
      <c r="AK338" s="197"/>
      <c r="AL338" s="197"/>
      <c r="AM338" s="197"/>
      <c r="AN338" s="197"/>
      <c r="AO338" s="197"/>
      <c r="AP338" s="197"/>
      <c r="AQ338" s="197"/>
      <c r="AR338" s="197"/>
      <c r="AS338" s="197"/>
      <c r="AT338" s="197"/>
      <c r="AU338" s="197"/>
      <c r="AV338" s="197"/>
      <c r="AW338" s="197"/>
      <c r="AX338" s="197"/>
      <c r="AY338" s="197"/>
      <c r="AZ338" s="197"/>
      <c r="BA338" s="197"/>
      <c r="BB338" s="197"/>
      <c r="BC338" s="197"/>
      <c r="BD338" s="197"/>
      <c r="BE338" s="197"/>
      <c r="BF338" s="197"/>
      <c r="BG338" s="197"/>
      <c r="BH338" s="197"/>
      <c r="BI338" s="197"/>
      <c r="BJ338" s="197"/>
      <c r="BK338" s="197"/>
      <c r="BL338" s="197"/>
      <c r="BM338" s="197"/>
      <c r="BN338" s="197"/>
      <c r="BO338" s="197"/>
      <c r="BP338" s="197"/>
      <c r="BQ338" s="197"/>
      <c r="BR338" s="197"/>
      <c r="BS338" s="197"/>
      <c r="BT338" s="197"/>
    </row>
    <row r="339">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c r="AA339" s="197"/>
      <c r="AB339" s="197"/>
      <c r="AC339" s="197"/>
      <c r="AD339" s="197"/>
      <c r="AE339" s="197"/>
      <c r="AF339" s="197"/>
      <c r="AG339" s="197"/>
      <c r="AH339" s="197"/>
      <c r="AI339" s="197"/>
      <c r="AJ339" s="197"/>
      <c r="AK339" s="197"/>
      <c r="AL339" s="197"/>
      <c r="AM339" s="197"/>
      <c r="AN339" s="197"/>
      <c r="AO339" s="197"/>
      <c r="AP339" s="197"/>
      <c r="AQ339" s="197"/>
      <c r="AR339" s="197"/>
      <c r="AS339" s="197"/>
      <c r="AT339" s="197"/>
      <c r="AU339" s="197"/>
      <c r="AV339" s="197"/>
      <c r="AW339" s="197"/>
      <c r="AX339" s="197"/>
      <c r="AY339" s="197"/>
      <c r="AZ339" s="197"/>
      <c r="BA339" s="197"/>
      <c r="BB339" s="197"/>
      <c r="BC339" s="197"/>
      <c r="BD339" s="197"/>
      <c r="BE339" s="197"/>
      <c r="BF339" s="197"/>
      <c r="BG339" s="197"/>
      <c r="BH339" s="197"/>
      <c r="BI339" s="197"/>
      <c r="BJ339" s="197"/>
      <c r="BK339" s="197"/>
      <c r="BL339" s="197"/>
      <c r="BM339" s="197"/>
      <c r="BN339" s="197"/>
      <c r="BO339" s="197"/>
      <c r="BP339" s="197"/>
      <c r="BQ339" s="197"/>
      <c r="BR339" s="197"/>
      <c r="BS339" s="197"/>
      <c r="BT339" s="197"/>
    </row>
    <row r="340">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c r="AA340" s="197"/>
      <c r="AB340" s="197"/>
      <c r="AC340" s="197"/>
      <c r="AD340" s="197"/>
      <c r="AE340" s="197"/>
      <c r="AF340" s="197"/>
      <c r="AG340" s="197"/>
      <c r="AH340" s="197"/>
      <c r="AI340" s="197"/>
      <c r="AJ340" s="197"/>
      <c r="AK340" s="197"/>
      <c r="AL340" s="197"/>
      <c r="AM340" s="197"/>
      <c r="AN340" s="197"/>
      <c r="AO340" s="197"/>
      <c r="AP340" s="197"/>
      <c r="AQ340" s="197"/>
      <c r="AR340" s="197"/>
      <c r="AS340" s="197"/>
      <c r="AT340" s="197"/>
      <c r="AU340" s="197"/>
      <c r="AV340" s="197"/>
      <c r="AW340" s="197"/>
      <c r="AX340" s="197"/>
      <c r="AY340" s="197"/>
      <c r="AZ340" s="197"/>
      <c r="BA340" s="197"/>
      <c r="BB340" s="197"/>
      <c r="BC340" s="197"/>
      <c r="BD340" s="197"/>
      <c r="BE340" s="197"/>
      <c r="BF340" s="197"/>
      <c r="BG340" s="197"/>
      <c r="BH340" s="197"/>
      <c r="BI340" s="197"/>
      <c r="BJ340" s="197"/>
      <c r="BK340" s="197"/>
      <c r="BL340" s="197"/>
      <c r="BM340" s="197"/>
      <c r="BN340" s="197"/>
      <c r="BO340" s="197"/>
      <c r="BP340" s="197"/>
      <c r="BQ340" s="197"/>
      <c r="BR340" s="197"/>
      <c r="BS340" s="197"/>
      <c r="BT340" s="197"/>
    </row>
    <row r="341">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c r="AA341" s="197"/>
      <c r="AB341" s="197"/>
      <c r="AC341" s="197"/>
      <c r="AD341" s="197"/>
      <c r="AE341" s="197"/>
      <c r="AF341" s="197"/>
      <c r="AG341" s="197"/>
      <c r="AH341" s="197"/>
      <c r="AI341" s="197"/>
      <c r="AJ341" s="197"/>
      <c r="AK341" s="197"/>
      <c r="AL341" s="197"/>
      <c r="AM341" s="197"/>
      <c r="AN341" s="197"/>
      <c r="AO341" s="197"/>
      <c r="AP341" s="197"/>
      <c r="AQ341" s="197"/>
      <c r="AR341" s="197"/>
      <c r="AS341" s="197"/>
      <c r="AT341" s="197"/>
      <c r="AU341" s="197"/>
      <c r="AV341" s="197"/>
      <c r="AW341" s="197"/>
      <c r="AX341" s="197"/>
      <c r="AY341" s="197"/>
      <c r="AZ341" s="197"/>
      <c r="BA341" s="197"/>
      <c r="BB341" s="197"/>
      <c r="BC341" s="197"/>
      <c r="BD341" s="197"/>
      <c r="BE341" s="197"/>
      <c r="BF341" s="197"/>
      <c r="BG341" s="197"/>
      <c r="BH341" s="197"/>
      <c r="BI341" s="197"/>
      <c r="BJ341" s="197"/>
      <c r="BK341" s="197"/>
      <c r="BL341" s="197"/>
      <c r="BM341" s="197"/>
      <c r="BN341" s="197"/>
      <c r="BO341" s="197"/>
      <c r="BP341" s="197"/>
      <c r="BQ341" s="197"/>
      <c r="BR341" s="197"/>
      <c r="BS341" s="197"/>
      <c r="BT341" s="197"/>
    </row>
    <row r="342">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c r="AA342" s="197"/>
      <c r="AB342" s="197"/>
      <c r="AC342" s="197"/>
      <c r="AD342" s="197"/>
      <c r="AE342" s="197"/>
      <c r="AF342" s="197"/>
      <c r="AG342" s="197"/>
      <c r="AH342" s="197"/>
      <c r="AI342" s="197"/>
      <c r="AJ342" s="197"/>
      <c r="AK342" s="197"/>
      <c r="AL342" s="197"/>
      <c r="AM342" s="197"/>
      <c r="AN342" s="197"/>
      <c r="AO342" s="197"/>
      <c r="AP342" s="197"/>
      <c r="AQ342" s="197"/>
      <c r="AR342" s="197"/>
      <c r="AS342" s="197"/>
      <c r="AT342" s="197"/>
      <c r="AU342" s="197"/>
      <c r="AV342" s="197"/>
      <c r="AW342" s="197"/>
      <c r="AX342" s="197"/>
      <c r="AY342" s="197"/>
      <c r="AZ342" s="197"/>
      <c r="BA342" s="197"/>
      <c r="BB342" s="197"/>
      <c r="BC342" s="197"/>
      <c r="BD342" s="197"/>
      <c r="BE342" s="197"/>
      <c r="BF342" s="197"/>
      <c r="BG342" s="197"/>
      <c r="BH342" s="197"/>
      <c r="BI342" s="197"/>
      <c r="BJ342" s="197"/>
      <c r="BK342" s="197"/>
      <c r="BL342" s="197"/>
      <c r="BM342" s="197"/>
      <c r="BN342" s="197"/>
      <c r="BO342" s="197"/>
      <c r="BP342" s="197"/>
      <c r="BQ342" s="197"/>
      <c r="BR342" s="197"/>
      <c r="BS342" s="197"/>
      <c r="BT342" s="197"/>
    </row>
    <row r="343">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c r="AA343" s="197"/>
      <c r="AB343" s="197"/>
      <c r="AC343" s="197"/>
      <c r="AD343" s="197"/>
      <c r="AE343" s="197"/>
      <c r="AF343" s="197"/>
      <c r="AG343" s="197"/>
      <c r="AH343" s="197"/>
      <c r="AI343" s="197"/>
      <c r="AJ343" s="197"/>
      <c r="AK343" s="197"/>
      <c r="AL343" s="197"/>
      <c r="AM343" s="197"/>
      <c r="AN343" s="197"/>
      <c r="AO343" s="197"/>
      <c r="AP343" s="197"/>
      <c r="AQ343" s="197"/>
      <c r="AR343" s="197"/>
      <c r="AS343" s="197"/>
      <c r="AT343" s="197"/>
      <c r="AU343" s="197"/>
      <c r="AV343" s="197"/>
      <c r="AW343" s="197"/>
      <c r="AX343" s="197"/>
      <c r="AY343" s="197"/>
      <c r="AZ343" s="197"/>
      <c r="BA343" s="197"/>
      <c r="BB343" s="197"/>
      <c r="BC343" s="197"/>
      <c r="BD343" s="197"/>
      <c r="BE343" s="197"/>
      <c r="BF343" s="197"/>
      <c r="BG343" s="197"/>
      <c r="BH343" s="197"/>
      <c r="BI343" s="197"/>
      <c r="BJ343" s="197"/>
      <c r="BK343" s="197"/>
      <c r="BL343" s="197"/>
      <c r="BM343" s="197"/>
      <c r="BN343" s="197"/>
      <c r="BO343" s="197"/>
      <c r="BP343" s="197"/>
      <c r="BQ343" s="197"/>
      <c r="BR343" s="197"/>
      <c r="BS343" s="197"/>
      <c r="BT343" s="197"/>
    </row>
    <row r="344">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c r="AA344" s="197"/>
      <c r="AB344" s="197"/>
      <c r="AC344" s="197"/>
      <c r="AD344" s="197"/>
      <c r="AE344" s="197"/>
      <c r="AF344" s="197"/>
      <c r="AG344" s="197"/>
      <c r="AH344" s="197"/>
      <c r="AI344" s="197"/>
      <c r="AJ344" s="197"/>
      <c r="AK344" s="197"/>
      <c r="AL344" s="197"/>
      <c r="AM344" s="197"/>
      <c r="AN344" s="197"/>
      <c r="AO344" s="197"/>
      <c r="AP344" s="197"/>
      <c r="AQ344" s="197"/>
      <c r="AR344" s="197"/>
      <c r="AS344" s="197"/>
      <c r="AT344" s="197"/>
      <c r="AU344" s="197"/>
      <c r="AV344" s="197"/>
      <c r="AW344" s="197"/>
      <c r="AX344" s="197"/>
      <c r="AY344" s="197"/>
      <c r="AZ344" s="197"/>
      <c r="BA344" s="197"/>
      <c r="BB344" s="197"/>
      <c r="BC344" s="197"/>
      <c r="BD344" s="197"/>
      <c r="BE344" s="197"/>
      <c r="BF344" s="197"/>
      <c r="BG344" s="197"/>
      <c r="BH344" s="197"/>
      <c r="BI344" s="197"/>
      <c r="BJ344" s="197"/>
      <c r="BK344" s="197"/>
      <c r="BL344" s="197"/>
      <c r="BM344" s="197"/>
      <c r="BN344" s="197"/>
      <c r="BO344" s="197"/>
      <c r="BP344" s="197"/>
      <c r="BQ344" s="197"/>
      <c r="BR344" s="197"/>
      <c r="BS344" s="197"/>
      <c r="BT344" s="197"/>
    </row>
    <row r="345">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c r="AA345" s="197"/>
      <c r="AB345" s="197"/>
      <c r="AC345" s="197"/>
      <c r="AD345" s="197"/>
      <c r="AE345" s="197"/>
      <c r="AF345" s="197"/>
      <c r="AG345" s="197"/>
      <c r="AH345" s="197"/>
      <c r="AI345" s="197"/>
      <c r="AJ345" s="197"/>
      <c r="AK345" s="197"/>
      <c r="AL345" s="197"/>
      <c r="AM345" s="197"/>
      <c r="AN345" s="197"/>
      <c r="AO345" s="197"/>
      <c r="AP345" s="197"/>
      <c r="AQ345" s="197"/>
      <c r="AR345" s="197"/>
      <c r="AS345" s="197"/>
      <c r="AT345" s="197"/>
      <c r="AU345" s="197"/>
      <c r="AV345" s="197"/>
      <c r="AW345" s="197"/>
      <c r="AX345" s="197"/>
      <c r="AY345" s="197"/>
      <c r="AZ345" s="197"/>
      <c r="BA345" s="197"/>
      <c r="BB345" s="197"/>
      <c r="BC345" s="197"/>
      <c r="BD345" s="197"/>
      <c r="BE345" s="197"/>
      <c r="BF345" s="197"/>
      <c r="BG345" s="197"/>
      <c r="BH345" s="197"/>
      <c r="BI345" s="197"/>
      <c r="BJ345" s="197"/>
      <c r="BK345" s="197"/>
      <c r="BL345" s="197"/>
      <c r="BM345" s="197"/>
      <c r="BN345" s="197"/>
      <c r="BO345" s="197"/>
      <c r="BP345" s="197"/>
      <c r="BQ345" s="197"/>
      <c r="BR345" s="197"/>
      <c r="BS345" s="197"/>
      <c r="BT345" s="197"/>
    </row>
    <row r="346">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c r="AA346" s="197"/>
      <c r="AB346" s="197"/>
      <c r="AC346" s="197"/>
      <c r="AD346" s="197"/>
      <c r="AE346" s="197"/>
      <c r="AF346" s="197"/>
      <c r="AG346" s="197"/>
      <c r="AH346" s="197"/>
      <c r="AI346" s="197"/>
      <c r="AJ346" s="197"/>
      <c r="AK346" s="197"/>
      <c r="AL346" s="197"/>
      <c r="AM346" s="197"/>
      <c r="AN346" s="197"/>
      <c r="AO346" s="197"/>
      <c r="AP346" s="197"/>
      <c r="AQ346" s="197"/>
      <c r="AR346" s="197"/>
      <c r="AS346" s="197"/>
      <c r="AT346" s="197"/>
      <c r="AU346" s="197"/>
      <c r="AV346" s="197"/>
      <c r="AW346" s="197"/>
      <c r="AX346" s="197"/>
      <c r="AY346" s="197"/>
      <c r="AZ346" s="197"/>
      <c r="BA346" s="197"/>
      <c r="BB346" s="197"/>
      <c r="BC346" s="197"/>
      <c r="BD346" s="197"/>
      <c r="BE346" s="197"/>
      <c r="BF346" s="197"/>
      <c r="BG346" s="197"/>
      <c r="BH346" s="197"/>
      <c r="BI346" s="197"/>
      <c r="BJ346" s="197"/>
      <c r="BK346" s="197"/>
      <c r="BL346" s="197"/>
      <c r="BM346" s="197"/>
      <c r="BN346" s="197"/>
      <c r="BO346" s="197"/>
      <c r="BP346" s="197"/>
      <c r="BQ346" s="197"/>
      <c r="BR346" s="197"/>
      <c r="BS346" s="197"/>
      <c r="BT346" s="197"/>
    </row>
    <row r="347">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c r="AA347" s="197"/>
      <c r="AB347" s="197"/>
      <c r="AC347" s="197"/>
      <c r="AD347" s="197"/>
      <c r="AE347" s="197"/>
      <c r="AF347" s="197"/>
      <c r="AG347" s="197"/>
      <c r="AH347" s="197"/>
      <c r="AI347" s="197"/>
      <c r="AJ347" s="197"/>
      <c r="AK347" s="197"/>
      <c r="AL347" s="197"/>
      <c r="AM347" s="197"/>
      <c r="AN347" s="197"/>
      <c r="AO347" s="197"/>
      <c r="AP347" s="197"/>
      <c r="AQ347" s="197"/>
      <c r="AR347" s="197"/>
      <c r="AS347" s="197"/>
      <c r="AT347" s="197"/>
      <c r="AU347" s="197"/>
      <c r="AV347" s="197"/>
      <c r="AW347" s="197"/>
      <c r="AX347" s="197"/>
      <c r="AY347" s="197"/>
      <c r="AZ347" s="197"/>
      <c r="BA347" s="197"/>
      <c r="BB347" s="197"/>
      <c r="BC347" s="197"/>
      <c r="BD347" s="197"/>
      <c r="BE347" s="197"/>
      <c r="BF347" s="197"/>
      <c r="BG347" s="197"/>
      <c r="BH347" s="197"/>
      <c r="BI347" s="197"/>
      <c r="BJ347" s="197"/>
      <c r="BK347" s="197"/>
      <c r="BL347" s="197"/>
      <c r="BM347" s="197"/>
      <c r="BN347" s="197"/>
      <c r="BO347" s="197"/>
      <c r="BP347" s="197"/>
      <c r="BQ347" s="197"/>
      <c r="BR347" s="197"/>
      <c r="BS347" s="197"/>
      <c r="BT347" s="197"/>
    </row>
    <row r="348">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c r="AA348" s="197"/>
      <c r="AB348" s="197"/>
      <c r="AC348" s="197"/>
      <c r="AD348" s="197"/>
      <c r="AE348" s="197"/>
      <c r="AF348" s="197"/>
      <c r="AG348" s="197"/>
      <c r="AH348" s="197"/>
      <c r="AI348" s="197"/>
      <c r="AJ348" s="197"/>
      <c r="AK348" s="197"/>
      <c r="AL348" s="197"/>
      <c r="AM348" s="197"/>
      <c r="AN348" s="197"/>
      <c r="AO348" s="197"/>
      <c r="AP348" s="197"/>
      <c r="AQ348" s="197"/>
      <c r="AR348" s="197"/>
      <c r="AS348" s="197"/>
      <c r="AT348" s="197"/>
      <c r="AU348" s="197"/>
      <c r="AV348" s="197"/>
      <c r="AW348" s="197"/>
      <c r="AX348" s="197"/>
      <c r="AY348" s="197"/>
      <c r="AZ348" s="197"/>
      <c r="BA348" s="197"/>
      <c r="BB348" s="197"/>
      <c r="BC348" s="197"/>
      <c r="BD348" s="197"/>
      <c r="BE348" s="197"/>
      <c r="BF348" s="197"/>
      <c r="BG348" s="197"/>
      <c r="BH348" s="197"/>
      <c r="BI348" s="197"/>
      <c r="BJ348" s="197"/>
      <c r="BK348" s="197"/>
      <c r="BL348" s="197"/>
      <c r="BM348" s="197"/>
      <c r="BN348" s="197"/>
      <c r="BO348" s="197"/>
      <c r="BP348" s="197"/>
      <c r="BQ348" s="197"/>
      <c r="BR348" s="197"/>
      <c r="BS348" s="197"/>
      <c r="BT348" s="197"/>
    </row>
    <row r="349">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c r="AA349" s="197"/>
      <c r="AB349" s="197"/>
      <c r="AC349" s="197"/>
      <c r="AD349" s="197"/>
      <c r="AE349" s="197"/>
      <c r="AF349" s="197"/>
      <c r="AG349" s="197"/>
      <c r="AH349" s="197"/>
      <c r="AI349" s="197"/>
      <c r="AJ349" s="197"/>
      <c r="AK349" s="197"/>
      <c r="AL349" s="197"/>
      <c r="AM349" s="197"/>
      <c r="AN349" s="197"/>
      <c r="AO349" s="197"/>
      <c r="AP349" s="197"/>
      <c r="AQ349" s="197"/>
      <c r="AR349" s="197"/>
      <c r="AS349" s="197"/>
      <c r="AT349" s="197"/>
      <c r="AU349" s="197"/>
      <c r="AV349" s="197"/>
      <c r="AW349" s="197"/>
      <c r="AX349" s="197"/>
      <c r="AY349" s="197"/>
      <c r="AZ349" s="197"/>
      <c r="BA349" s="197"/>
      <c r="BB349" s="197"/>
      <c r="BC349" s="197"/>
      <c r="BD349" s="197"/>
      <c r="BE349" s="197"/>
      <c r="BF349" s="197"/>
      <c r="BG349" s="197"/>
      <c r="BH349" s="197"/>
      <c r="BI349" s="197"/>
      <c r="BJ349" s="197"/>
      <c r="BK349" s="197"/>
      <c r="BL349" s="197"/>
      <c r="BM349" s="197"/>
      <c r="BN349" s="197"/>
      <c r="BO349" s="197"/>
      <c r="BP349" s="197"/>
      <c r="BQ349" s="197"/>
      <c r="BR349" s="197"/>
      <c r="BS349" s="197"/>
      <c r="BT349" s="197"/>
    </row>
    <row r="350">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c r="AA350" s="197"/>
      <c r="AB350" s="197"/>
      <c r="AC350" s="197"/>
      <c r="AD350" s="197"/>
      <c r="AE350" s="197"/>
      <c r="AF350" s="197"/>
      <c r="AG350" s="197"/>
      <c r="AH350" s="197"/>
      <c r="AI350" s="197"/>
      <c r="AJ350" s="197"/>
      <c r="AK350" s="197"/>
      <c r="AL350" s="197"/>
      <c r="AM350" s="197"/>
      <c r="AN350" s="197"/>
      <c r="AO350" s="197"/>
      <c r="AP350" s="197"/>
      <c r="AQ350" s="197"/>
      <c r="AR350" s="197"/>
      <c r="AS350" s="197"/>
      <c r="AT350" s="197"/>
      <c r="AU350" s="197"/>
      <c r="AV350" s="197"/>
      <c r="AW350" s="197"/>
      <c r="AX350" s="197"/>
      <c r="AY350" s="197"/>
      <c r="AZ350" s="197"/>
      <c r="BA350" s="197"/>
      <c r="BB350" s="197"/>
      <c r="BC350" s="197"/>
      <c r="BD350" s="197"/>
      <c r="BE350" s="197"/>
      <c r="BF350" s="197"/>
      <c r="BG350" s="197"/>
      <c r="BH350" s="197"/>
      <c r="BI350" s="197"/>
      <c r="BJ350" s="197"/>
      <c r="BK350" s="197"/>
      <c r="BL350" s="197"/>
      <c r="BM350" s="197"/>
      <c r="BN350" s="197"/>
      <c r="BO350" s="197"/>
      <c r="BP350" s="197"/>
      <c r="BQ350" s="197"/>
      <c r="BR350" s="197"/>
      <c r="BS350" s="197"/>
      <c r="BT350" s="197"/>
    </row>
    <row r="351">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c r="AA351" s="197"/>
      <c r="AB351" s="197"/>
      <c r="AC351" s="197"/>
      <c r="AD351" s="197"/>
      <c r="AE351" s="197"/>
      <c r="AF351" s="197"/>
      <c r="AG351" s="197"/>
      <c r="AH351" s="197"/>
      <c r="AI351" s="197"/>
      <c r="AJ351" s="197"/>
      <c r="AK351" s="197"/>
      <c r="AL351" s="197"/>
      <c r="AM351" s="197"/>
      <c r="AN351" s="197"/>
      <c r="AO351" s="197"/>
      <c r="AP351" s="197"/>
      <c r="AQ351" s="197"/>
      <c r="AR351" s="197"/>
      <c r="AS351" s="197"/>
      <c r="AT351" s="197"/>
      <c r="AU351" s="197"/>
      <c r="AV351" s="197"/>
      <c r="AW351" s="197"/>
      <c r="AX351" s="197"/>
      <c r="AY351" s="197"/>
      <c r="AZ351" s="197"/>
      <c r="BA351" s="197"/>
      <c r="BB351" s="197"/>
      <c r="BC351" s="197"/>
      <c r="BD351" s="197"/>
      <c r="BE351" s="197"/>
      <c r="BF351" s="197"/>
      <c r="BG351" s="197"/>
      <c r="BH351" s="197"/>
      <c r="BI351" s="197"/>
      <c r="BJ351" s="197"/>
      <c r="BK351" s="197"/>
      <c r="BL351" s="197"/>
      <c r="BM351" s="197"/>
      <c r="BN351" s="197"/>
      <c r="BO351" s="197"/>
      <c r="BP351" s="197"/>
      <c r="BQ351" s="197"/>
      <c r="BR351" s="197"/>
      <c r="BS351" s="197"/>
      <c r="BT351" s="197"/>
    </row>
    <row r="352">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c r="AA352" s="197"/>
      <c r="AB352" s="197"/>
      <c r="AC352" s="197"/>
      <c r="AD352" s="197"/>
      <c r="AE352" s="197"/>
      <c r="AF352" s="197"/>
      <c r="AG352" s="197"/>
      <c r="AH352" s="197"/>
      <c r="AI352" s="197"/>
      <c r="AJ352" s="197"/>
      <c r="AK352" s="197"/>
      <c r="AL352" s="197"/>
      <c r="AM352" s="197"/>
      <c r="AN352" s="197"/>
      <c r="AO352" s="197"/>
      <c r="AP352" s="197"/>
      <c r="AQ352" s="197"/>
      <c r="AR352" s="197"/>
      <c r="AS352" s="197"/>
      <c r="AT352" s="197"/>
      <c r="AU352" s="197"/>
      <c r="AV352" s="197"/>
      <c r="AW352" s="197"/>
      <c r="AX352" s="197"/>
      <c r="AY352" s="197"/>
      <c r="AZ352" s="197"/>
      <c r="BA352" s="197"/>
      <c r="BB352" s="197"/>
      <c r="BC352" s="197"/>
      <c r="BD352" s="197"/>
      <c r="BE352" s="197"/>
      <c r="BF352" s="197"/>
      <c r="BG352" s="197"/>
      <c r="BH352" s="197"/>
      <c r="BI352" s="197"/>
      <c r="BJ352" s="197"/>
      <c r="BK352" s="197"/>
      <c r="BL352" s="197"/>
      <c r="BM352" s="197"/>
      <c r="BN352" s="197"/>
      <c r="BO352" s="197"/>
      <c r="BP352" s="197"/>
      <c r="BQ352" s="197"/>
      <c r="BR352" s="197"/>
      <c r="BS352" s="197"/>
      <c r="BT352" s="197"/>
    </row>
    <row r="353">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c r="AA353" s="197"/>
      <c r="AB353" s="197"/>
      <c r="AC353" s="197"/>
      <c r="AD353" s="197"/>
      <c r="AE353" s="197"/>
      <c r="AF353" s="197"/>
      <c r="AG353" s="197"/>
      <c r="AH353" s="197"/>
      <c r="AI353" s="197"/>
      <c r="AJ353" s="197"/>
      <c r="AK353" s="197"/>
      <c r="AL353" s="197"/>
      <c r="AM353" s="197"/>
      <c r="AN353" s="197"/>
      <c r="AO353" s="197"/>
      <c r="AP353" s="197"/>
      <c r="AQ353" s="197"/>
      <c r="AR353" s="197"/>
      <c r="AS353" s="197"/>
      <c r="AT353" s="197"/>
      <c r="AU353" s="197"/>
      <c r="AV353" s="197"/>
      <c r="AW353" s="197"/>
      <c r="AX353" s="197"/>
      <c r="AY353" s="197"/>
      <c r="AZ353" s="197"/>
      <c r="BA353" s="197"/>
      <c r="BB353" s="197"/>
      <c r="BC353" s="197"/>
      <c r="BD353" s="197"/>
      <c r="BE353" s="197"/>
      <c r="BF353" s="197"/>
      <c r="BG353" s="197"/>
      <c r="BH353" s="197"/>
      <c r="BI353" s="197"/>
      <c r="BJ353" s="197"/>
      <c r="BK353" s="197"/>
      <c r="BL353" s="197"/>
      <c r="BM353" s="197"/>
      <c r="BN353" s="197"/>
      <c r="BO353" s="197"/>
      <c r="BP353" s="197"/>
      <c r="BQ353" s="197"/>
      <c r="BR353" s="197"/>
      <c r="BS353" s="197"/>
      <c r="BT353" s="197"/>
    </row>
    <row r="354">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c r="AA354" s="197"/>
      <c r="AB354" s="197"/>
      <c r="AC354" s="197"/>
      <c r="AD354" s="197"/>
      <c r="AE354" s="197"/>
      <c r="AF354" s="197"/>
      <c r="AG354" s="197"/>
      <c r="AH354" s="197"/>
      <c r="AI354" s="197"/>
      <c r="AJ354" s="197"/>
      <c r="AK354" s="197"/>
      <c r="AL354" s="197"/>
      <c r="AM354" s="197"/>
      <c r="AN354" s="197"/>
      <c r="AO354" s="197"/>
      <c r="AP354" s="197"/>
      <c r="AQ354" s="197"/>
      <c r="AR354" s="197"/>
      <c r="AS354" s="197"/>
      <c r="AT354" s="197"/>
      <c r="AU354" s="197"/>
      <c r="AV354" s="197"/>
      <c r="AW354" s="197"/>
      <c r="AX354" s="197"/>
      <c r="AY354" s="197"/>
      <c r="AZ354" s="197"/>
      <c r="BA354" s="197"/>
      <c r="BB354" s="197"/>
      <c r="BC354" s="197"/>
      <c r="BD354" s="197"/>
      <c r="BE354" s="197"/>
      <c r="BF354" s="197"/>
      <c r="BG354" s="197"/>
      <c r="BH354" s="197"/>
      <c r="BI354" s="197"/>
      <c r="BJ354" s="197"/>
      <c r="BK354" s="197"/>
      <c r="BL354" s="197"/>
      <c r="BM354" s="197"/>
      <c r="BN354" s="197"/>
      <c r="BO354" s="197"/>
      <c r="BP354" s="197"/>
      <c r="BQ354" s="197"/>
      <c r="BR354" s="197"/>
      <c r="BS354" s="197"/>
      <c r="BT354" s="197"/>
    </row>
    <row r="355">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c r="AA355" s="197"/>
      <c r="AB355" s="197"/>
      <c r="AC355" s="197"/>
      <c r="AD355" s="197"/>
      <c r="AE355" s="197"/>
      <c r="AF355" s="197"/>
      <c r="AG355" s="197"/>
      <c r="AH355" s="197"/>
      <c r="AI355" s="197"/>
      <c r="AJ355" s="197"/>
      <c r="AK355" s="197"/>
      <c r="AL355" s="197"/>
      <c r="AM355" s="197"/>
      <c r="AN355" s="197"/>
      <c r="AO355" s="197"/>
      <c r="AP355" s="197"/>
      <c r="AQ355" s="197"/>
      <c r="AR355" s="197"/>
      <c r="AS355" s="197"/>
      <c r="AT355" s="197"/>
      <c r="AU355" s="197"/>
      <c r="AV355" s="197"/>
      <c r="AW355" s="197"/>
      <c r="AX355" s="197"/>
      <c r="AY355" s="197"/>
      <c r="AZ355" s="197"/>
      <c r="BA355" s="197"/>
      <c r="BB355" s="197"/>
      <c r="BC355" s="197"/>
      <c r="BD355" s="197"/>
      <c r="BE355" s="197"/>
      <c r="BF355" s="197"/>
      <c r="BG355" s="197"/>
      <c r="BH355" s="197"/>
      <c r="BI355" s="197"/>
      <c r="BJ355" s="197"/>
      <c r="BK355" s="197"/>
      <c r="BL355" s="197"/>
      <c r="BM355" s="197"/>
      <c r="BN355" s="197"/>
      <c r="BO355" s="197"/>
      <c r="BP355" s="197"/>
      <c r="BQ355" s="197"/>
      <c r="BR355" s="197"/>
      <c r="BS355" s="197"/>
      <c r="BT355" s="197"/>
    </row>
    <row r="356">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c r="AA356" s="197"/>
      <c r="AB356" s="197"/>
      <c r="AC356" s="197"/>
      <c r="AD356" s="197"/>
      <c r="AE356" s="197"/>
      <c r="AF356" s="197"/>
      <c r="AG356" s="197"/>
      <c r="AH356" s="197"/>
      <c r="AI356" s="197"/>
      <c r="AJ356" s="197"/>
      <c r="AK356" s="197"/>
      <c r="AL356" s="197"/>
      <c r="AM356" s="197"/>
      <c r="AN356" s="197"/>
      <c r="AO356" s="197"/>
      <c r="AP356" s="197"/>
      <c r="AQ356" s="197"/>
      <c r="AR356" s="197"/>
      <c r="AS356" s="197"/>
      <c r="AT356" s="197"/>
      <c r="AU356" s="197"/>
      <c r="AV356" s="197"/>
      <c r="AW356" s="197"/>
      <c r="AX356" s="197"/>
      <c r="AY356" s="197"/>
      <c r="AZ356" s="197"/>
      <c r="BA356" s="197"/>
      <c r="BB356" s="197"/>
      <c r="BC356" s="197"/>
      <c r="BD356" s="197"/>
      <c r="BE356" s="197"/>
      <c r="BF356" s="197"/>
      <c r="BG356" s="197"/>
      <c r="BH356" s="197"/>
      <c r="BI356" s="197"/>
      <c r="BJ356" s="197"/>
      <c r="BK356" s="197"/>
      <c r="BL356" s="197"/>
      <c r="BM356" s="197"/>
      <c r="BN356" s="197"/>
      <c r="BO356" s="197"/>
      <c r="BP356" s="197"/>
      <c r="BQ356" s="197"/>
      <c r="BR356" s="197"/>
      <c r="BS356" s="197"/>
      <c r="BT356" s="197"/>
    </row>
    <row r="357">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c r="AA357" s="197"/>
      <c r="AB357" s="197"/>
      <c r="AC357" s="197"/>
      <c r="AD357" s="197"/>
      <c r="AE357" s="197"/>
      <c r="AF357" s="197"/>
      <c r="AG357" s="197"/>
      <c r="AH357" s="197"/>
      <c r="AI357" s="197"/>
      <c r="AJ357" s="197"/>
      <c r="AK357" s="197"/>
      <c r="AL357" s="197"/>
      <c r="AM357" s="197"/>
      <c r="AN357" s="197"/>
      <c r="AO357" s="197"/>
      <c r="AP357" s="197"/>
      <c r="AQ357" s="197"/>
      <c r="AR357" s="197"/>
      <c r="AS357" s="197"/>
      <c r="AT357" s="197"/>
      <c r="AU357" s="197"/>
      <c r="AV357" s="197"/>
      <c r="AW357" s="197"/>
      <c r="AX357" s="197"/>
      <c r="AY357" s="197"/>
      <c r="AZ357" s="197"/>
      <c r="BA357" s="197"/>
      <c r="BB357" s="197"/>
      <c r="BC357" s="197"/>
      <c r="BD357" s="197"/>
      <c r="BE357" s="197"/>
      <c r="BF357" s="197"/>
      <c r="BG357" s="197"/>
      <c r="BH357" s="197"/>
      <c r="BI357" s="197"/>
      <c r="BJ357" s="197"/>
      <c r="BK357" s="197"/>
      <c r="BL357" s="197"/>
      <c r="BM357" s="197"/>
      <c r="BN357" s="197"/>
      <c r="BO357" s="197"/>
      <c r="BP357" s="197"/>
      <c r="BQ357" s="197"/>
      <c r="BR357" s="197"/>
      <c r="BS357" s="197"/>
      <c r="BT357" s="197"/>
    </row>
    <row r="358">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c r="AA358" s="197"/>
      <c r="AB358" s="197"/>
      <c r="AC358" s="197"/>
      <c r="AD358" s="197"/>
      <c r="AE358" s="197"/>
      <c r="AF358" s="197"/>
      <c r="AG358" s="197"/>
      <c r="AH358" s="197"/>
      <c r="AI358" s="197"/>
      <c r="AJ358" s="197"/>
      <c r="AK358" s="197"/>
      <c r="AL358" s="197"/>
      <c r="AM358" s="197"/>
      <c r="AN358" s="197"/>
      <c r="AO358" s="197"/>
      <c r="AP358" s="197"/>
      <c r="AQ358" s="197"/>
      <c r="AR358" s="197"/>
      <c r="AS358" s="197"/>
      <c r="AT358" s="197"/>
      <c r="AU358" s="197"/>
      <c r="AV358" s="197"/>
      <c r="AW358" s="197"/>
      <c r="AX358" s="197"/>
      <c r="AY358" s="197"/>
      <c r="AZ358" s="197"/>
      <c r="BA358" s="197"/>
      <c r="BB358" s="197"/>
      <c r="BC358" s="197"/>
      <c r="BD358" s="197"/>
      <c r="BE358" s="197"/>
      <c r="BF358" s="197"/>
      <c r="BG358" s="197"/>
      <c r="BH358" s="197"/>
      <c r="BI358" s="197"/>
      <c r="BJ358" s="197"/>
      <c r="BK358" s="197"/>
      <c r="BL358" s="197"/>
      <c r="BM358" s="197"/>
      <c r="BN358" s="197"/>
      <c r="BO358" s="197"/>
      <c r="BP358" s="197"/>
      <c r="BQ358" s="197"/>
      <c r="BR358" s="197"/>
      <c r="BS358" s="197"/>
      <c r="BT358" s="197"/>
    </row>
    <row r="359">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c r="AA359" s="197"/>
      <c r="AB359" s="197"/>
      <c r="AC359" s="197"/>
      <c r="AD359" s="197"/>
      <c r="AE359" s="197"/>
      <c r="AF359" s="197"/>
      <c r="AG359" s="197"/>
      <c r="AH359" s="197"/>
      <c r="AI359" s="197"/>
      <c r="AJ359" s="197"/>
      <c r="AK359" s="197"/>
      <c r="AL359" s="197"/>
      <c r="AM359" s="197"/>
      <c r="AN359" s="197"/>
      <c r="AO359" s="197"/>
      <c r="AP359" s="197"/>
      <c r="AQ359" s="197"/>
      <c r="AR359" s="197"/>
      <c r="AS359" s="197"/>
      <c r="AT359" s="197"/>
      <c r="AU359" s="197"/>
      <c r="AV359" s="197"/>
      <c r="AW359" s="197"/>
      <c r="AX359" s="197"/>
      <c r="AY359" s="197"/>
      <c r="AZ359" s="197"/>
      <c r="BA359" s="197"/>
      <c r="BB359" s="197"/>
      <c r="BC359" s="197"/>
      <c r="BD359" s="197"/>
      <c r="BE359" s="197"/>
      <c r="BF359" s="197"/>
      <c r="BG359" s="197"/>
      <c r="BH359" s="197"/>
      <c r="BI359" s="197"/>
      <c r="BJ359" s="197"/>
      <c r="BK359" s="197"/>
      <c r="BL359" s="197"/>
      <c r="BM359" s="197"/>
      <c r="BN359" s="197"/>
      <c r="BO359" s="197"/>
      <c r="BP359" s="197"/>
      <c r="BQ359" s="197"/>
      <c r="BR359" s="197"/>
      <c r="BS359" s="197"/>
      <c r="BT359" s="197"/>
    </row>
    <row r="360">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c r="AA360" s="197"/>
      <c r="AB360" s="197"/>
      <c r="AC360" s="197"/>
      <c r="AD360" s="197"/>
      <c r="AE360" s="197"/>
      <c r="AF360" s="197"/>
      <c r="AG360" s="197"/>
      <c r="AH360" s="197"/>
      <c r="AI360" s="197"/>
      <c r="AJ360" s="197"/>
      <c r="AK360" s="197"/>
      <c r="AL360" s="197"/>
      <c r="AM360" s="197"/>
      <c r="AN360" s="197"/>
      <c r="AO360" s="197"/>
      <c r="AP360" s="197"/>
      <c r="AQ360" s="197"/>
      <c r="AR360" s="197"/>
      <c r="AS360" s="197"/>
      <c r="AT360" s="197"/>
      <c r="AU360" s="197"/>
      <c r="AV360" s="197"/>
      <c r="AW360" s="197"/>
      <c r="AX360" s="197"/>
      <c r="AY360" s="197"/>
      <c r="AZ360" s="197"/>
      <c r="BA360" s="197"/>
      <c r="BB360" s="197"/>
      <c r="BC360" s="197"/>
      <c r="BD360" s="197"/>
      <c r="BE360" s="197"/>
      <c r="BF360" s="197"/>
      <c r="BG360" s="197"/>
      <c r="BH360" s="197"/>
      <c r="BI360" s="197"/>
      <c r="BJ360" s="197"/>
      <c r="BK360" s="197"/>
      <c r="BL360" s="197"/>
      <c r="BM360" s="197"/>
      <c r="BN360" s="197"/>
      <c r="BO360" s="197"/>
      <c r="BP360" s="197"/>
      <c r="BQ360" s="197"/>
      <c r="BR360" s="197"/>
      <c r="BS360" s="197"/>
      <c r="BT360" s="197"/>
    </row>
    <row r="361">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c r="AA361" s="197"/>
      <c r="AB361" s="197"/>
      <c r="AC361" s="197"/>
      <c r="AD361" s="197"/>
      <c r="AE361" s="197"/>
      <c r="AF361" s="197"/>
      <c r="AG361" s="197"/>
      <c r="AH361" s="197"/>
      <c r="AI361" s="197"/>
      <c r="AJ361" s="197"/>
      <c r="AK361" s="197"/>
      <c r="AL361" s="197"/>
      <c r="AM361" s="197"/>
      <c r="AN361" s="197"/>
      <c r="AO361" s="197"/>
      <c r="AP361" s="197"/>
      <c r="AQ361" s="197"/>
      <c r="AR361" s="197"/>
      <c r="AS361" s="197"/>
      <c r="AT361" s="197"/>
      <c r="AU361" s="197"/>
      <c r="AV361" s="197"/>
      <c r="AW361" s="197"/>
      <c r="AX361" s="197"/>
      <c r="AY361" s="197"/>
      <c r="AZ361" s="197"/>
      <c r="BA361" s="197"/>
      <c r="BB361" s="197"/>
      <c r="BC361" s="197"/>
      <c r="BD361" s="197"/>
      <c r="BE361" s="197"/>
      <c r="BF361" s="197"/>
      <c r="BG361" s="197"/>
      <c r="BH361" s="197"/>
      <c r="BI361" s="197"/>
      <c r="BJ361" s="197"/>
      <c r="BK361" s="197"/>
      <c r="BL361" s="197"/>
      <c r="BM361" s="197"/>
      <c r="BN361" s="197"/>
      <c r="BO361" s="197"/>
      <c r="BP361" s="197"/>
      <c r="BQ361" s="197"/>
      <c r="BR361" s="197"/>
      <c r="BS361" s="197"/>
      <c r="BT361" s="197"/>
    </row>
    <row r="362">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c r="AA362" s="197"/>
      <c r="AB362" s="197"/>
      <c r="AC362" s="197"/>
      <c r="AD362" s="197"/>
      <c r="AE362" s="197"/>
      <c r="AF362" s="197"/>
      <c r="AG362" s="197"/>
      <c r="AH362" s="197"/>
      <c r="AI362" s="197"/>
      <c r="AJ362" s="197"/>
      <c r="AK362" s="197"/>
      <c r="AL362" s="197"/>
      <c r="AM362" s="197"/>
      <c r="AN362" s="197"/>
      <c r="AO362" s="197"/>
      <c r="AP362" s="197"/>
      <c r="AQ362" s="197"/>
      <c r="AR362" s="197"/>
      <c r="AS362" s="197"/>
      <c r="AT362" s="197"/>
      <c r="AU362" s="197"/>
      <c r="AV362" s="197"/>
      <c r="AW362" s="197"/>
      <c r="AX362" s="197"/>
      <c r="AY362" s="197"/>
      <c r="AZ362" s="197"/>
      <c r="BA362" s="197"/>
      <c r="BB362" s="197"/>
      <c r="BC362" s="197"/>
      <c r="BD362" s="197"/>
      <c r="BE362" s="197"/>
      <c r="BF362" s="197"/>
      <c r="BG362" s="197"/>
      <c r="BH362" s="197"/>
      <c r="BI362" s="197"/>
      <c r="BJ362" s="197"/>
      <c r="BK362" s="197"/>
      <c r="BL362" s="197"/>
      <c r="BM362" s="197"/>
      <c r="BN362" s="197"/>
      <c r="BO362" s="197"/>
      <c r="BP362" s="197"/>
      <c r="BQ362" s="197"/>
      <c r="BR362" s="197"/>
      <c r="BS362" s="197"/>
      <c r="BT362" s="197"/>
    </row>
    <row r="363">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c r="AA363" s="197"/>
      <c r="AB363" s="197"/>
      <c r="AC363" s="197"/>
      <c r="AD363" s="197"/>
      <c r="AE363" s="197"/>
      <c r="AF363" s="197"/>
      <c r="AG363" s="197"/>
      <c r="AH363" s="197"/>
      <c r="AI363" s="197"/>
      <c r="AJ363" s="197"/>
      <c r="AK363" s="197"/>
      <c r="AL363" s="197"/>
      <c r="AM363" s="197"/>
      <c r="AN363" s="197"/>
      <c r="AO363" s="197"/>
      <c r="AP363" s="197"/>
      <c r="AQ363" s="197"/>
      <c r="AR363" s="197"/>
      <c r="AS363" s="197"/>
      <c r="AT363" s="197"/>
      <c r="AU363" s="197"/>
      <c r="AV363" s="197"/>
      <c r="AW363" s="197"/>
      <c r="AX363" s="197"/>
      <c r="AY363" s="197"/>
      <c r="AZ363" s="197"/>
      <c r="BA363" s="197"/>
      <c r="BB363" s="197"/>
      <c r="BC363" s="197"/>
      <c r="BD363" s="197"/>
      <c r="BE363" s="197"/>
      <c r="BF363" s="197"/>
      <c r="BG363" s="197"/>
      <c r="BH363" s="197"/>
      <c r="BI363" s="197"/>
      <c r="BJ363" s="197"/>
      <c r="BK363" s="197"/>
      <c r="BL363" s="197"/>
      <c r="BM363" s="197"/>
      <c r="BN363" s="197"/>
      <c r="BO363" s="197"/>
      <c r="BP363" s="197"/>
      <c r="BQ363" s="197"/>
      <c r="BR363" s="197"/>
      <c r="BS363" s="197"/>
      <c r="BT363" s="197"/>
    </row>
    <row r="364">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c r="AA364" s="197"/>
      <c r="AB364" s="197"/>
      <c r="AC364" s="197"/>
      <c r="AD364" s="197"/>
      <c r="AE364" s="197"/>
      <c r="AF364" s="197"/>
      <c r="AG364" s="197"/>
      <c r="AH364" s="197"/>
      <c r="AI364" s="197"/>
      <c r="AJ364" s="197"/>
      <c r="AK364" s="197"/>
      <c r="AL364" s="197"/>
      <c r="AM364" s="197"/>
      <c r="AN364" s="197"/>
      <c r="AO364" s="197"/>
      <c r="AP364" s="197"/>
      <c r="AQ364" s="197"/>
      <c r="AR364" s="197"/>
      <c r="AS364" s="197"/>
      <c r="AT364" s="197"/>
      <c r="AU364" s="197"/>
      <c r="AV364" s="197"/>
      <c r="AW364" s="197"/>
      <c r="AX364" s="197"/>
      <c r="AY364" s="197"/>
      <c r="AZ364" s="197"/>
      <c r="BA364" s="197"/>
      <c r="BB364" s="197"/>
      <c r="BC364" s="197"/>
      <c r="BD364" s="197"/>
      <c r="BE364" s="197"/>
      <c r="BF364" s="197"/>
      <c r="BG364" s="197"/>
      <c r="BH364" s="197"/>
      <c r="BI364" s="197"/>
      <c r="BJ364" s="197"/>
      <c r="BK364" s="197"/>
      <c r="BL364" s="197"/>
      <c r="BM364" s="197"/>
      <c r="BN364" s="197"/>
      <c r="BO364" s="197"/>
      <c r="BP364" s="197"/>
      <c r="BQ364" s="197"/>
      <c r="BR364" s="197"/>
      <c r="BS364" s="197"/>
      <c r="BT364" s="197"/>
    </row>
    <row r="365">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c r="AA365" s="197"/>
      <c r="AB365" s="197"/>
      <c r="AC365" s="197"/>
      <c r="AD365" s="197"/>
      <c r="AE365" s="197"/>
      <c r="AF365" s="197"/>
      <c r="AG365" s="197"/>
      <c r="AH365" s="197"/>
      <c r="AI365" s="197"/>
      <c r="AJ365" s="197"/>
      <c r="AK365" s="197"/>
      <c r="AL365" s="197"/>
      <c r="AM365" s="197"/>
      <c r="AN365" s="197"/>
      <c r="AO365" s="197"/>
      <c r="AP365" s="197"/>
      <c r="AQ365" s="197"/>
      <c r="AR365" s="197"/>
      <c r="AS365" s="197"/>
      <c r="AT365" s="197"/>
      <c r="AU365" s="197"/>
      <c r="AV365" s="197"/>
      <c r="AW365" s="197"/>
      <c r="AX365" s="197"/>
      <c r="AY365" s="197"/>
      <c r="AZ365" s="197"/>
      <c r="BA365" s="197"/>
      <c r="BB365" s="197"/>
      <c r="BC365" s="197"/>
      <c r="BD365" s="197"/>
      <c r="BE365" s="197"/>
      <c r="BF365" s="197"/>
      <c r="BG365" s="197"/>
      <c r="BH365" s="197"/>
      <c r="BI365" s="197"/>
      <c r="BJ365" s="197"/>
      <c r="BK365" s="197"/>
      <c r="BL365" s="197"/>
      <c r="BM365" s="197"/>
      <c r="BN365" s="197"/>
      <c r="BO365" s="197"/>
      <c r="BP365" s="197"/>
      <c r="BQ365" s="197"/>
      <c r="BR365" s="197"/>
      <c r="BS365" s="197"/>
      <c r="BT365" s="197"/>
    </row>
    <row r="366">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c r="AA366" s="197"/>
      <c r="AB366" s="197"/>
      <c r="AC366" s="197"/>
      <c r="AD366" s="197"/>
      <c r="AE366" s="197"/>
      <c r="AF366" s="197"/>
      <c r="AG366" s="197"/>
      <c r="AH366" s="197"/>
      <c r="AI366" s="197"/>
      <c r="AJ366" s="197"/>
      <c r="AK366" s="197"/>
      <c r="AL366" s="197"/>
      <c r="AM366" s="197"/>
      <c r="AN366" s="197"/>
      <c r="AO366" s="197"/>
      <c r="AP366" s="197"/>
      <c r="AQ366" s="197"/>
      <c r="AR366" s="197"/>
      <c r="AS366" s="197"/>
      <c r="AT366" s="197"/>
      <c r="AU366" s="197"/>
      <c r="AV366" s="197"/>
      <c r="AW366" s="197"/>
      <c r="AX366" s="197"/>
      <c r="AY366" s="197"/>
      <c r="AZ366" s="197"/>
      <c r="BA366" s="197"/>
      <c r="BB366" s="197"/>
      <c r="BC366" s="197"/>
      <c r="BD366" s="197"/>
      <c r="BE366" s="197"/>
      <c r="BF366" s="197"/>
      <c r="BG366" s="197"/>
      <c r="BH366" s="197"/>
      <c r="BI366" s="197"/>
      <c r="BJ366" s="197"/>
      <c r="BK366" s="197"/>
      <c r="BL366" s="197"/>
      <c r="BM366" s="197"/>
      <c r="BN366" s="197"/>
      <c r="BO366" s="197"/>
      <c r="BP366" s="197"/>
      <c r="BQ366" s="197"/>
      <c r="BR366" s="197"/>
      <c r="BS366" s="197"/>
      <c r="BT366" s="197"/>
    </row>
    <row r="367">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c r="AA367" s="197"/>
      <c r="AB367" s="197"/>
      <c r="AC367" s="197"/>
      <c r="AD367" s="197"/>
      <c r="AE367" s="197"/>
      <c r="AF367" s="197"/>
      <c r="AG367" s="197"/>
      <c r="AH367" s="197"/>
      <c r="AI367" s="197"/>
      <c r="AJ367" s="197"/>
      <c r="AK367" s="197"/>
      <c r="AL367" s="197"/>
      <c r="AM367" s="197"/>
      <c r="AN367" s="197"/>
      <c r="AO367" s="197"/>
      <c r="AP367" s="197"/>
      <c r="AQ367" s="197"/>
      <c r="AR367" s="197"/>
      <c r="AS367" s="197"/>
      <c r="AT367" s="197"/>
      <c r="AU367" s="197"/>
      <c r="AV367" s="197"/>
      <c r="AW367" s="197"/>
      <c r="AX367" s="197"/>
      <c r="AY367" s="197"/>
      <c r="AZ367" s="197"/>
      <c r="BA367" s="197"/>
      <c r="BB367" s="197"/>
      <c r="BC367" s="197"/>
      <c r="BD367" s="197"/>
      <c r="BE367" s="197"/>
      <c r="BF367" s="197"/>
      <c r="BG367" s="197"/>
      <c r="BH367" s="197"/>
      <c r="BI367" s="197"/>
      <c r="BJ367" s="197"/>
      <c r="BK367" s="197"/>
      <c r="BL367" s="197"/>
      <c r="BM367" s="197"/>
      <c r="BN367" s="197"/>
      <c r="BO367" s="197"/>
      <c r="BP367" s="197"/>
      <c r="BQ367" s="197"/>
      <c r="BR367" s="197"/>
      <c r="BS367" s="197"/>
      <c r="BT367" s="197"/>
    </row>
    <row r="368">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c r="AA368" s="197"/>
      <c r="AB368" s="197"/>
      <c r="AC368" s="197"/>
      <c r="AD368" s="197"/>
      <c r="AE368" s="197"/>
      <c r="AF368" s="197"/>
      <c r="AG368" s="197"/>
      <c r="AH368" s="197"/>
      <c r="AI368" s="197"/>
      <c r="AJ368" s="197"/>
      <c r="AK368" s="197"/>
      <c r="AL368" s="197"/>
      <c r="AM368" s="197"/>
      <c r="AN368" s="197"/>
      <c r="AO368" s="197"/>
      <c r="AP368" s="197"/>
      <c r="AQ368" s="197"/>
      <c r="AR368" s="197"/>
      <c r="AS368" s="197"/>
      <c r="AT368" s="197"/>
      <c r="AU368" s="197"/>
      <c r="AV368" s="197"/>
      <c r="AW368" s="197"/>
      <c r="AX368" s="197"/>
      <c r="AY368" s="197"/>
      <c r="AZ368" s="197"/>
      <c r="BA368" s="197"/>
      <c r="BB368" s="197"/>
      <c r="BC368" s="197"/>
      <c r="BD368" s="197"/>
      <c r="BE368" s="197"/>
      <c r="BF368" s="197"/>
      <c r="BG368" s="197"/>
      <c r="BH368" s="197"/>
      <c r="BI368" s="197"/>
      <c r="BJ368" s="197"/>
      <c r="BK368" s="197"/>
      <c r="BL368" s="197"/>
      <c r="BM368" s="197"/>
      <c r="BN368" s="197"/>
      <c r="BO368" s="197"/>
      <c r="BP368" s="197"/>
      <c r="BQ368" s="197"/>
      <c r="BR368" s="197"/>
      <c r="BS368" s="197"/>
      <c r="BT368" s="197"/>
    </row>
    <row r="369">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c r="AA369" s="197"/>
      <c r="AB369" s="197"/>
      <c r="AC369" s="197"/>
      <c r="AD369" s="197"/>
      <c r="AE369" s="197"/>
      <c r="AF369" s="197"/>
      <c r="AG369" s="197"/>
      <c r="AH369" s="197"/>
      <c r="AI369" s="197"/>
      <c r="AJ369" s="197"/>
      <c r="AK369" s="197"/>
      <c r="AL369" s="197"/>
      <c r="AM369" s="197"/>
      <c r="AN369" s="197"/>
      <c r="AO369" s="197"/>
      <c r="AP369" s="197"/>
      <c r="AQ369" s="197"/>
      <c r="AR369" s="197"/>
      <c r="AS369" s="197"/>
      <c r="AT369" s="197"/>
      <c r="AU369" s="197"/>
      <c r="AV369" s="197"/>
      <c r="AW369" s="197"/>
      <c r="AX369" s="197"/>
      <c r="AY369" s="197"/>
      <c r="AZ369" s="197"/>
      <c r="BA369" s="197"/>
      <c r="BB369" s="197"/>
      <c r="BC369" s="197"/>
      <c r="BD369" s="197"/>
      <c r="BE369" s="197"/>
      <c r="BF369" s="197"/>
      <c r="BG369" s="197"/>
      <c r="BH369" s="197"/>
      <c r="BI369" s="197"/>
      <c r="BJ369" s="197"/>
      <c r="BK369" s="197"/>
      <c r="BL369" s="197"/>
      <c r="BM369" s="197"/>
      <c r="BN369" s="197"/>
      <c r="BO369" s="197"/>
      <c r="BP369" s="197"/>
      <c r="BQ369" s="197"/>
      <c r="BR369" s="197"/>
      <c r="BS369" s="197"/>
      <c r="BT369" s="197"/>
    </row>
    <row r="370">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c r="AA370" s="197"/>
      <c r="AB370" s="197"/>
      <c r="AC370" s="197"/>
      <c r="AD370" s="197"/>
      <c r="AE370" s="197"/>
      <c r="AF370" s="197"/>
      <c r="AG370" s="197"/>
      <c r="AH370" s="197"/>
      <c r="AI370" s="197"/>
      <c r="AJ370" s="197"/>
      <c r="AK370" s="197"/>
      <c r="AL370" s="197"/>
      <c r="AM370" s="197"/>
      <c r="AN370" s="197"/>
      <c r="AO370" s="197"/>
      <c r="AP370" s="197"/>
      <c r="AQ370" s="197"/>
      <c r="AR370" s="197"/>
      <c r="AS370" s="197"/>
      <c r="AT370" s="197"/>
      <c r="AU370" s="197"/>
      <c r="AV370" s="197"/>
      <c r="AW370" s="197"/>
      <c r="AX370" s="197"/>
      <c r="AY370" s="197"/>
      <c r="AZ370" s="197"/>
      <c r="BA370" s="197"/>
      <c r="BB370" s="197"/>
      <c r="BC370" s="197"/>
      <c r="BD370" s="197"/>
      <c r="BE370" s="197"/>
      <c r="BF370" s="197"/>
      <c r="BG370" s="197"/>
      <c r="BH370" s="197"/>
      <c r="BI370" s="197"/>
      <c r="BJ370" s="197"/>
      <c r="BK370" s="197"/>
      <c r="BL370" s="197"/>
      <c r="BM370" s="197"/>
      <c r="BN370" s="197"/>
      <c r="BO370" s="197"/>
      <c r="BP370" s="197"/>
      <c r="BQ370" s="197"/>
      <c r="BR370" s="197"/>
      <c r="BS370" s="197"/>
      <c r="BT370" s="197"/>
    </row>
    <row r="371">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c r="AA371" s="197"/>
      <c r="AB371" s="197"/>
      <c r="AC371" s="197"/>
      <c r="AD371" s="197"/>
      <c r="AE371" s="197"/>
      <c r="AF371" s="197"/>
      <c r="AG371" s="197"/>
      <c r="AH371" s="197"/>
      <c r="AI371" s="197"/>
      <c r="AJ371" s="197"/>
      <c r="AK371" s="197"/>
      <c r="AL371" s="197"/>
      <c r="AM371" s="197"/>
      <c r="AN371" s="197"/>
      <c r="AO371" s="197"/>
      <c r="AP371" s="197"/>
      <c r="AQ371" s="197"/>
      <c r="AR371" s="197"/>
      <c r="AS371" s="197"/>
      <c r="AT371" s="197"/>
      <c r="AU371" s="197"/>
      <c r="AV371" s="197"/>
      <c r="AW371" s="197"/>
      <c r="AX371" s="197"/>
      <c r="AY371" s="197"/>
      <c r="AZ371" s="197"/>
      <c r="BA371" s="197"/>
      <c r="BB371" s="197"/>
      <c r="BC371" s="197"/>
      <c r="BD371" s="197"/>
      <c r="BE371" s="197"/>
      <c r="BF371" s="197"/>
      <c r="BG371" s="197"/>
      <c r="BH371" s="197"/>
      <c r="BI371" s="197"/>
      <c r="BJ371" s="197"/>
      <c r="BK371" s="197"/>
      <c r="BL371" s="197"/>
      <c r="BM371" s="197"/>
      <c r="BN371" s="197"/>
      <c r="BO371" s="197"/>
      <c r="BP371" s="197"/>
      <c r="BQ371" s="197"/>
      <c r="BR371" s="197"/>
      <c r="BS371" s="197"/>
      <c r="BT371" s="197"/>
    </row>
    <row r="372">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c r="AA372" s="197"/>
      <c r="AB372" s="197"/>
      <c r="AC372" s="197"/>
      <c r="AD372" s="197"/>
      <c r="AE372" s="197"/>
      <c r="AF372" s="197"/>
      <c r="AG372" s="197"/>
      <c r="AH372" s="197"/>
      <c r="AI372" s="197"/>
      <c r="AJ372" s="197"/>
      <c r="AK372" s="197"/>
      <c r="AL372" s="197"/>
      <c r="AM372" s="197"/>
      <c r="AN372" s="197"/>
      <c r="AO372" s="197"/>
      <c r="AP372" s="197"/>
      <c r="AQ372" s="197"/>
      <c r="AR372" s="197"/>
      <c r="AS372" s="197"/>
      <c r="AT372" s="197"/>
      <c r="AU372" s="197"/>
      <c r="AV372" s="197"/>
      <c r="AW372" s="197"/>
      <c r="AX372" s="197"/>
      <c r="AY372" s="197"/>
      <c r="AZ372" s="197"/>
      <c r="BA372" s="197"/>
      <c r="BB372" s="197"/>
      <c r="BC372" s="197"/>
      <c r="BD372" s="197"/>
      <c r="BE372" s="197"/>
      <c r="BF372" s="197"/>
      <c r="BG372" s="197"/>
      <c r="BH372" s="197"/>
      <c r="BI372" s="197"/>
      <c r="BJ372" s="197"/>
      <c r="BK372" s="197"/>
      <c r="BL372" s="197"/>
      <c r="BM372" s="197"/>
      <c r="BN372" s="197"/>
      <c r="BO372" s="197"/>
      <c r="BP372" s="197"/>
      <c r="BQ372" s="197"/>
      <c r="BR372" s="197"/>
      <c r="BS372" s="197"/>
      <c r="BT372" s="197"/>
    </row>
    <row r="373">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c r="AA373" s="197"/>
      <c r="AB373" s="197"/>
      <c r="AC373" s="197"/>
      <c r="AD373" s="197"/>
      <c r="AE373" s="197"/>
      <c r="AF373" s="197"/>
      <c r="AG373" s="197"/>
      <c r="AH373" s="197"/>
      <c r="AI373" s="197"/>
      <c r="AJ373" s="197"/>
      <c r="AK373" s="197"/>
      <c r="AL373" s="197"/>
      <c r="AM373" s="197"/>
      <c r="AN373" s="197"/>
      <c r="AO373" s="197"/>
      <c r="AP373" s="197"/>
      <c r="AQ373" s="197"/>
      <c r="AR373" s="197"/>
      <c r="AS373" s="197"/>
      <c r="AT373" s="197"/>
      <c r="AU373" s="197"/>
      <c r="AV373" s="197"/>
      <c r="AW373" s="197"/>
      <c r="AX373" s="197"/>
      <c r="AY373" s="197"/>
      <c r="AZ373" s="197"/>
      <c r="BA373" s="197"/>
      <c r="BB373" s="197"/>
      <c r="BC373" s="197"/>
      <c r="BD373" s="197"/>
      <c r="BE373" s="197"/>
      <c r="BF373" s="197"/>
      <c r="BG373" s="197"/>
      <c r="BH373" s="197"/>
      <c r="BI373" s="197"/>
      <c r="BJ373" s="197"/>
      <c r="BK373" s="197"/>
      <c r="BL373" s="197"/>
      <c r="BM373" s="197"/>
      <c r="BN373" s="197"/>
      <c r="BO373" s="197"/>
      <c r="BP373" s="197"/>
      <c r="BQ373" s="197"/>
      <c r="BR373" s="197"/>
      <c r="BS373" s="197"/>
      <c r="BT373" s="197"/>
    </row>
    <row r="374">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c r="AA374" s="197"/>
      <c r="AB374" s="197"/>
      <c r="AC374" s="197"/>
      <c r="AD374" s="197"/>
      <c r="AE374" s="197"/>
      <c r="AF374" s="197"/>
      <c r="AG374" s="197"/>
      <c r="AH374" s="197"/>
      <c r="AI374" s="197"/>
      <c r="AJ374" s="197"/>
      <c r="AK374" s="197"/>
      <c r="AL374" s="197"/>
      <c r="AM374" s="197"/>
      <c r="AN374" s="197"/>
      <c r="AO374" s="197"/>
      <c r="AP374" s="197"/>
      <c r="AQ374" s="197"/>
      <c r="AR374" s="197"/>
      <c r="AS374" s="197"/>
      <c r="AT374" s="197"/>
      <c r="AU374" s="197"/>
      <c r="AV374" s="197"/>
      <c r="AW374" s="197"/>
      <c r="AX374" s="197"/>
      <c r="AY374" s="197"/>
      <c r="AZ374" s="197"/>
      <c r="BA374" s="197"/>
      <c r="BB374" s="197"/>
      <c r="BC374" s="197"/>
      <c r="BD374" s="197"/>
      <c r="BE374" s="197"/>
      <c r="BF374" s="197"/>
      <c r="BG374" s="197"/>
      <c r="BH374" s="197"/>
      <c r="BI374" s="197"/>
      <c r="BJ374" s="197"/>
      <c r="BK374" s="197"/>
      <c r="BL374" s="197"/>
      <c r="BM374" s="197"/>
      <c r="BN374" s="197"/>
      <c r="BO374" s="197"/>
      <c r="BP374" s="197"/>
      <c r="BQ374" s="197"/>
      <c r="BR374" s="197"/>
      <c r="BS374" s="197"/>
      <c r="BT374" s="197"/>
    </row>
    <row r="375">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c r="AA375" s="197"/>
      <c r="AB375" s="197"/>
      <c r="AC375" s="197"/>
      <c r="AD375" s="197"/>
      <c r="AE375" s="197"/>
      <c r="AF375" s="197"/>
      <c r="AG375" s="197"/>
      <c r="AH375" s="197"/>
      <c r="AI375" s="197"/>
      <c r="AJ375" s="197"/>
      <c r="AK375" s="197"/>
      <c r="AL375" s="197"/>
      <c r="AM375" s="197"/>
      <c r="AN375" s="197"/>
      <c r="AO375" s="197"/>
      <c r="AP375" s="197"/>
      <c r="AQ375" s="197"/>
      <c r="AR375" s="197"/>
      <c r="AS375" s="197"/>
      <c r="AT375" s="197"/>
      <c r="AU375" s="197"/>
      <c r="AV375" s="197"/>
      <c r="AW375" s="197"/>
      <c r="AX375" s="197"/>
      <c r="AY375" s="197"/>
      <c r="AZ375" s="197"/>
      <c r="BA375" s="197"/>
      <c r="BB375" s="197"/>
      <c r="BC375" s="197"/>
      <c r="BD375" s="197"/>
      <c r="BE375" s="197"/>
      <c r="BF375" s="197"/>
      <c r="BG375" s="197"/>
      <c r="BH375" s="197"/>
      <c r="BI375" s="197"/>
      <c r="BJ375" s="197"/>
      <c r="BK375" s="197"/>
      <c r="BL375" s="197"/>
      <c r="BM375" s="197"/>
      <c r="BN375" s="197"/>
      <c r="BO375" s="197"/>
      <c r="BP375" s="197"/>
      <c r="BQ375" s="197"/>
      <c r="BR375" s="197"/>
      <c r="BS375" s="197"/>
      <c r="BT375" s="197"/>
    </row>
    <row r="376">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c r="AA376" s="197"/>
      <c r="AB376" s="197"/>
      <c r="AC376" s="197"/>
      <c r="AD376" s="197"/>
      <c r="AE376" s="197"/>
      <c r="AF376" s="197"/>
      <c r="AG376" s="197"/>
      <c r="AH376" s="197"/>
      <c r="AI376" s="197"/>
      <c r="AJ376" s="197"/>
      <c r="AK376" s="197"/>
      <c r="AL376" s="197"/>
      <c r="AM376" s="197"/>
      <c r="AN376" s="197"/>
      <c r="AO376" s="197"/>
      <c r="AP376" s="197"/>
      <c r="AQ376" s="197"/>
      <c r="AR376" s="197"/>
      <c r="AS376" s="197"/>
      <c r="AT376" s="197"/>
      <c r="AU376" s="197"/>
      <c r="AV376" s="197"/>
      <c r="AW376" s="197"/>
      <c r="AX376" s="197"/>
      <c r="AY376" s="197"/>
      <c r="AZ376" s="197"/>
      <c r="BA376" s="197"/>
      <c r="BB376" s="197"/>
      <c r="BC376" s="197"/>
      <c r="BD376" s="197"/>
      <c r="BE376" s="197"/>
      <c r="BF376" s="197"/>
      <c r="BG376" s="197"/>
      <c r="BH376" s="197"/>
      <c r="BI376" s="197"/>
      <c r="BJ376" s="197"/>
      <c r="BK376" s="197"/>
      <c r="BL376" s="197"/>
      <c r="BM376" s="197"/>
      <c r="BN376" s="197"/>
      <c r="BO376" s="197"/>
      <c r="BP376" s="197"/>
      <c r="BQ376" s="197"/>
      <c r="BR376" s="197"/>
      <c r="BS376" s="197"/>
      <c r="BT376" s="197"/>
    </row>
    <row r="377">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c r="AA377" s="197"/>
      <c r="AB377" s="197"/>
      <c r="AC377" s="197"/>
      <c r="AD377" s="197"/>
      <c r="AE377" s="197"/>
      <c r="AF377" s="197"/>
      <c r="AG377" s="197"/>
      <c r="AH377" s="197"/>
      <c r="AI377" s="197"/>
      <c r="AJ377" s="197"/>
      <c r="AK377" s="197"/>
      <c r="AL377" s="197"/>
      <c r="AM377" s="197"/>
      <c r="AN377" s="197"/>
      <c r="AO377" s="197"/>
      <c r="AP377" s="197"/>
      <c r="AQ377" s="197"/>
      <c r="AR377" s="197"/>
      <c r="AS377" s="197"/>
      <c r="AT377" s="197"/>
      <c r="AU377" s="197"/>
      <c r="AV377" s="197"/>
      <c r="AW377" s="197"/>
      <c r="AX377" s="197"/>
      <c r="AY377" s="197"/>
      <c r="AZ377" s="197"/>
      <c r="BA377" s="197"/>
      <c r="BB377" s="197"/>
      <c r="BC377" s="197"/>
      <c r="BD377" s="197"/>
      <c r="BE377" s="197"/>
      <c r="BF377" s="197"/>
      <c r="BG377" s="197"/>
      <c r="BH377" s="197"/>
      <c r="BI377" s="197"/>
      <c r="BJ377" s="197"/>
      <c r="BK377" s="197"/>
      <c r="BL377" s="197"/>
      <c r="BM377" s="197"/>
      <c r="BN377" s="197"/>
      <c r="BO377" s="197"/>
      <c r="BP377" s="197"/>
      <c r="BQ377" s="197"/>
      <c r="BR377" s="197"/>
      <c r="BS377" s="197"/>
      <c r="BT377" s="197"/>
    </row>
    <row r="378">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c r="AA378" s="197"/>
      <c r="AB378" s="197"/>
      <c r="AC378" s="197"/>
      <c r="AD378" s="197"/>
      <c r="AE378" s="197"/>
      <c r="AF378" s="197"/>
      <c r="AG378" s="197"/>
      <c r="AH378" s="197"/>
      <c r="AI378" s="197"/>
      <c r="AJ378" s="197"/>
      <c r="AK378" s="197"/>
      <c r="AL378" s="197"/>
      <c r="AM378" s="197"/>
      <c r="AN378" s="197"/>
      <c r="AO378" s="197"/>
      <c r="AP378" s="197"/>
      <c r="AQ378" s="197"/>
      <c r="AR378" s="197"/>
      <c r="AS378" s="197"/>
      <c r="AT378" s="197"/>
      <c r="AU378" s="197"/>
      <c r="AV378" s="197"/>
      <c r="AW378" s="197"/>
      <c r="AX378" s="197"/>
      <c r="AY378" s="197"/>
      <c r="AZ378" s="197"/>
      <c r="BA378" s="197"/>
      <c r="BB378" s="197"/>
      <c r="BC378" s="197"/>
      <c r="BD378" s="197"/>
      <c r="BE378" s="197"/>
      <c r="BF378" s="197"/>
      <c r="BG378" s="197"/>
      <c r="BH378" s="197"/>
      <c r="BI378" s="197"/>
      <c r="BJ378" s="197"/>
      <c r="BK378" s="197"/>
      <c r="BL378" s="197"/>
      <c r="BM378" s="197"/>
      <c r="BN378" s="197"/>
      <c r="BO378" s="197"/>
      <c r="BP378" s="197"/>
      <c r="BQ378" s="197"/>
      <c r="BR378" s="197"/>
      <c r="BS378" s="197"/>
      <c r="BT378" s="197"/>
    </row>
    <row r="379">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c r="AA379" s="197"/>
      <c r="AB379" s="197"/>
      <c r="AC379" s="197"/>
      <c r="AD379" s="197"/>
      <c r="AE379" s="197"/>
      <c r="AF379" s="197"/>
      <c r="AG379" s="197"/>
      <c r="AH379" s="197"/>
      <c r="AI379" s="197"/>
      <c r="AJ379" s="197"/>
      <c r="AK379" s="197"/>
      <c r="AL379" s="197"/>
      <c r="AM379" s="197"/>
      <c r="AN379" s="197"/>
      <c r="AO379" s="197"/>
      <c r="AP379" s="197"/>
      <c r="AQ379" s="197"/>
      <c r="AR379" s="197"/>
      <c r="AS379" s="197"/>
      <c r="AT379" s="197"/>
      <c r="AU379" s="197"/>
      <c r="AV379" s="197"/>
      <c r="AW379" s="197"/>
      <c r="AX379" s="197"/>
      <c r="AY379" s="197"/>
      <c r="AZ379" s="197"/>
      <c r="BA379" s="197"/>
      <c r="BB379" s="197"/>
      <c r="BC379" s="197"/>
      <c r="BD379" s="197"/>
      <c r="BE379" s="197"/>
      <c r="BF379" s="197"/>
      <c r="BG379" s="197"/>
      <c r="BH379" s="197"/>
      <c r="BI379" s="197"/>
      <c r="BJ379" s="197"/>
      <c r="BK379" s="197"/>
      <c r="BL379" s="197"/>
      <c r="BM379" s="197"/>
      <c r="BN379" s="197"/>
      <c r="BO379" s="197"/>
      <c r="BP379" s="197"/>
      <c r="BQ379" s="197"/>
      <c r="BR379" s="197"/>
      <c r="BS379" s="197"/>
      <c r="BT379" s="197"/>
    </row>
    <row r="380">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c r="AA380" s="197"/>
      <c r="AB380" s="197"/>
      <c r="AC380" s="197"/>
      <c r="AD380" s="197"/>
      <c r="AE380" s="197"/>
      <c r="AF380" s="197"/>
      <c r="AG380" s="197"/>
      <c r="AH380" s="197"/>
      <c r="AI380" s="197"/>
      <c r="AJ380" s="197"/>
      <c r="AK380" s="197"/>
      <c r="AL380" s="197"/>
      <c r="AM380" s="197"/>
      <c r="AN380" s="197"/>
      <c r="AO380" s="197"/>
      <c r="AP380" s="197"/>
      <c r="AQ380" s="197"/>
      <c r="AR380" s="197"/>
      <c r="AS380" s="197"/>
      <c r="AT380" s="197"/>
      <c r="AU380" s="197"/>
      <c r="AV380" s="197"/>
      <c r="AW380" s="197"/>
      <c r="AX380" s="197"/>
      <c r="AY380" s="197"/>
      <c r="AZ380" s="197"/>
      <c r="BA380" s="197"/>
      <c r="BB380" s="197"/>
      <c r="BC380" s="197"/>
      <c r="BD380" s="197"/>
      <c r="BE380" s="197"/>
      <c r="BF380" s="197"/>
      <c r="BG380" s="197"/>
      <c r="BH380" s="197"/>
      <c r="BI380" s="197"/>
      <c r="BJ380" s="197"/>
      <c r="BK380" s="197"/>
      <c r="BL380" s="197"/>
      <c r="BM380" s="197"/>
      <c r="BN380" s="197"/>
      <c r="BO380" s="197"/>
      <c r="BP380" s="197"/>
      <c r="BQ380" s="197"/>
      <c r="BR380" s="197"/>
      <c r="BS380" s="197"/>
      <c r="BT380" s="197"/>
    </row>
    <row r="381">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c r="AA381" s="197"/>
      <c r="AB381" s="197"/>
      <c r="AC381" s="197"/>
      <c r="AD381" s="197"/>
      <c r="AE381" s="197"/>
      <c r="AF381" s="197"/>
      <c r="AG381" s="197"/>
      <c r="AH381" s="197"/>
      <c r="AI381" s="197"/>
      <c r="AJ381" s="197"/>
      <c r="AK381" s="197"/>
      <c r="AL381" s="197"/>
      <c r="AM381" s="197"/>
      <c r="AN381" s="197"/>
      <c r="AO381" s="197"/>
      <c r="AP381" s="197"/>
      <c r="AQ381" s="197"/>
      <c r="AR381" s="197"/>
      <c r="AS381" s="197"/>
      <c r="AT381" s="197"/>
      <c r="AU381" s="197"/>
      <c r="AV381" s="197"/>
      <c r="AW381" s="197"/>
      <c r="AX381" s="197"/>
      <c r="AY381" s="197"/>
      <c r="AZ381" s="197"/>
      <c r="BA381" s="197"/>
      <c r="BB381" s="197"/>
      <c r="BC381" s="197"/>
      <c r="BD381" s="197"/>
      <c r="BE381" s="197"/>
      <c r="BF381" s="197"/>
      <c r="BG381" s="197"/>
      <c r="BH381" s="197"/>
      <c r="BI381" s="197"/>
      <c r="BJ381" s="197"/>
      <c r="BK381" s="197"/>
      <c r="BL381" s="197"/>
      <c r="BM381" s="197"/>
      <c r="BN381" s="197"/>
      <c r="BO381" s="197"/>
      <c r="BP381" s="197"/>
      <c r="BQ381" s="197"/>
      <c r="BR381" s="197"/>
      <c r="BS381" s="197"/>
      <c r="BT381" s="197"/>
    </row>
    <row r="382">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c r="AA382" s="197"/>
      <c r="AB382" s="197"/>
      <c r="AC382" s="197"/>
      <c r="AD382" s="197"/>
      <c r="AE382" s="197"/>
      <c r="AF382" s="197"/>
      <c r="AG382" s="197"/>
      <c r="AH382" s="197"/>
      <c r="AI382" s="197"/>
      <c r="AJ382" s="197"/>
      <c r="AK382" s="197"/>
      <c r="AL382" s="197"/>
      <c r="AM382" s="197"/>
      <c r="AN382" s="197"/>
      <c r="AO382" s="197"/>
      <c r="AP382" s="197"/>
      <c r="AQ382" s="197"/>
      <c r="AR382" s="197"/>
      <c r="AS382" s="197"/>
      <c r="AT382" s="197"/>
      <c r="AU382" s="197"/>
      <c r="AV382" s="197"/>
      <c r="AW382" s="197"/>
      <c r="AX382" s="197"/>
      <c r="AY382" s="197"/>
      <c r="AZ382" s="197"/>
      <c r="BA382" s="197"/>
      <c r="BB382" s="197"/>
      <c r="BC382" s="197"/>
      <c r="BD382" s="197"/>
      <c r="BE382" s="197"/>
      <c r="BF382" s="197"/>
      <c r="BG382" s="197"/>
      <c r="BH382" s="197"/>
      <c r="BI382" s="197"/>
      <c r="BJ382" s="197"/>
      <c r="BK382" s="197"/>
      <c r="BL382" s="197"/>
      <c r="BM382" s="197"/>
      <c r="BN382" s="197"/>
      <c r="BO382" s="197"/>
      <c r="BP382" s="197"/>
      <c r="BQ382" s="197"/>
      <c r="BR382" s="197"/>
      <c r="BS382" s="197"/>
      <c r="BT382" s="197"/>
    </row>
    <row r="383">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c r="AA383" s="197"/>
      <c r="AB383" s="197"/>
      <c r="AC383" s="197"/>
      <c r="AD383" s="197"/>
      <c r="AE383" s="197"/>
      <c r="AF383" s="197"/>
      <c r="AG383" s="197"/>
      <c r="AH383" s="197"/>
      <c r="AI383" s="197"/>
      <c r="AJ383" s="197"/>
      <c r="AK383" s="197"/>
      <c r="AL383" s="197"/>
      <c r="AM383" s="197"/>
      <c r="AN383" s="197"/>
      <c r="AO383" s="197"/>
      <c r="AP383" s="197"/>
      <c r="AQ383" s="197"/>
      <c r="AR383" s="197"/>
      <c r="AS383" s="197"/>
      <c r="AT383" s="197"/>
      <c r="AU383" s="197"/>
      <c r="AV383" s="197"/>
      <c r="AW383" s="197"/>
      <c r="AX383" s="197"/>
      <c r="AY383" s="197"/>
      <c r="AZ383" s="197"/>
      <c r="BA383" s="197"/>
      <c r="BB383" s="197"/>
      <c r="BC383" s="197"/>
      <c r="BD383" s="197"/>
      <c r="BE383" s="197"/>
      <c r="BF383" s="197"/>
      <c r="BG383" s="197"/>
      <c r="BH383" s="197"/>
      <c r="BI383" s="197"/>
      <c r="BJ383" s="197"/>
      <c r="BK383" s="197"/>
      <c r="BL383" s="197"/>
      <c r="BM383" s="197"/>
      <c r="BN383" s="197"/>
      <c r="BO383" s="197"/>
      <c r="BP383" s="197"/>
      <c r="BQ383" s="197"/>
      <c r="BR383" s="197"/>
      <c r="BS383" s="197"/>
      <c r="BT383" s="197"/>
    </row>
    <row r="384">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c r="AA384" s="197"/>
      <c r="AB384" s="197"/>
      <c r="AC384" s="197"/>
      <c r="AD384" s="197"/>
      <c r="AE384" s="197"/>
      <c r="AF384" s="197"/>
      <c r="AG384" s="197"/>
      <c r="AH384" s="197"/>
      <c r="AI384" s="197"/>
      <c r="AJ384" s="197"/>
      <c r="AK384" s="197"/>
      <c r="AL384" s="197"/>
      <c r="AM384" s="197"/>
      <c r="AN384" s="197"/>
      <c r="AO384" s="197"/>
      <c r="AP384" s="197"/>
      <c r="AQ384" s="197"/>
      <c r="AR384" s="197"/>
      <c r="AS384" s="197"/>
      <c r="AT384" s="197"/>
      <c r="AU384" s="197"/>
      <c r="AV384" s="197"/>
      <c r="AW384" s="197"/>
      <c r="AX384" s="197"/>
      <c r="AY384" s="197"/>
      <c r="AZ384" s="197"/>
      <c r="BA384" s="197"/>
      <c r="BB384" s="197"/>
      <c r="BC384" s="197"/>
      <c r="BD384" s="197"/>
      <c r="BE384" s="197"/>
      <c r="BF384" s="197"/>
      <c r="BG384" s="197"/>
      <c r="BH384" s="197"/>
      <c r="BI384" s="197"/>
      <c r="BJ384" s="197"/>
      <c r="BK384" s="197"/>
      <c r="BL384" s="197"/>
      <c r="BM384" s="197"/>
      <c r="BN384" s="197"/>
      <c r="BO384" s="197"/>
      <c r="BP384" s="197"/>
      <c r="BQ384" s="197"/>
      <c r="BR384" s="197"/>
      <c r="BS384" s="197"/>
      <c r="BT384" s="197"/>
    </row>
    <row r="385">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c r="AA385" s="197"/>
      <c r="AB385" s="197"/>
      <c r="AC385" s="197"/>
      <c r="AD385" s="197"/>
      <c r="AE385" s="197"/>
      <c r="AF385" s="197"/>
      <c r="AG385" s="197"/>
      <c r="AH385" s="197"/>
      <c r="AI385" s="197"/>
      <c r="AJ385" s="197"/>
      <c r="AK385" s="197"/>
      <c r="AL385" s="197"/>
      <c r="AM385" s="197"/>
      <c r="AN385" s="197"/>
      <c r="AO385" s="197"/>
      <c r="AP385" s="197"/>
      <c r="AQ385" s="197"/>
      <c r="AR385" s="197"/>
      <c r="AS385" s="197"/>
      <c r="AT385" s="197"/>
      <c r="AU385" s="197"/>
      <c r="AV385" s="197"/>
      <c r="AW385" s="197"/>
      <c r="AX385" s="197"/>
      <c r="AY385" s="197"/>
      <c r="AZ385" s="197"/>
      <c r="BA385" s="197"/>
      <c r="BB385" s="197"/>
      <c r="BC385" s="197"/>
      <c r="BD385" s="197"/>
      <c r="BE385" s="197"/>
      <c r="BF385" s="197"/>
      <c r="BG385" s="197"/>
      <c r="BH385" s="197"/>
      <c r="BI385" s="197"/>
      <c r="BJ385" s="197"/>
      <c r="BK385" s="197"/>
      <c r="BL385" s="197"/>
      <c r="BM385" s="197"/>
      <c r="BN385" s="197"/>
      <c r="BO385" s="197"/>
      <c r="BP385" s="197"/>
      <c r="BQ385" s="197"/>
      <c r="BR385" s="197"/>
      <c r="BS385" s="197"/>
      <c r="BT385" s="197"/>
    </row>
    <row r="386">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c r="AA386" s="197"/>
      <c r="AB386" s="197"/>
      <c r="AC386" s="197"/>
      <c r="AD386" s="197"/>
      <c r="AE386" s="197"/>
      <c r="AF386" s="197"/>
      <c r="AG386" s="197"/>
      <c r="AH386" s="197"/>
      <c r="AI386" s="197"/>
      <c r="AJ386" s="197"/>
      <c r="AK386" s="197"/>
      <c r="AL386" s="197"/>
      <c r="AM386" s="197"/>
      <c r="AN386" s="197"/>
      <c r="AO386" s="197"/>
      <c r="AP386" s="197"/>
      <c r="AQ386" s="197"/>
      <c r="AR386" s="197"/>
      <c r="AS386" s="197"/>
      <c r="AT386" s="197"/>
      <c r="AU386" s="197"/>
      <c r="AV386" s="197"/>
      <c r="AW386" s="197"/>
      <c r="AX386" s="197"/>
      <c r="AY386" s="197"/>
      <c r="AZ386" s="197"/>
      <c r="BA386" s="197"/>
      <c r="BB386" s="197"/>
      <c r="BC386" s="197"/>
      <c r="BD386" s="197"/>
      <c r="BE386" s="197"/>
      <c r="BF386" s="197"/>
      <c r="BG386" s="197"/>
      <c r="BH386" s="197"/>
      <c r="BI386" s="197"/>
      <c r="BJ386" s="197"/>
      <c r="BK386" s="197"/>
      <c r="BL386" s="197"/>
      <c r="BM386" s="197"/>
      <c r="BN386" s="197"/>
      <c r="BO386" s="197"/>
      <c r="BP386" s="197"/>
      <c r="BQ386" s="197"/>
      <c r="BR386" s="197"/>
      <c r="BS386" s="197"/>
      <c r="BT386" s="197"/>
    </row>
    <row r="387">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c r="AA387" s="197"/>
      <c r="AB387" s="197"/>
      <c r="AC387" s="197"/>
      <c r="AD387" s="197"/>
      <c r="AE387" s="197"/>
      <c r="AF387" s="197"/>
      <c r="AG387" s="197"/>
      <c r="AH387" s="197"/>
      <c r="AI387" s="197"/>
      <c r="AJ387" s="197"/>
      <c r="AK387" s="197"/>
      <c r="AL387" s="197"/>
      <c r="AM387" s="197"/>
      <c r="AN387" s="197"/>
      <c r="AO387" s="197"/>
      <c r="AP387" s="197"/>
      <c r="AQ387" s="197"/>
      <c r="AR387" s="197"/>
      <c r="AS387" s="197"/>
      <c r="AT387" s="197"/>
      <c r="AU387" s="197"/>
      <c r="AV387" s="197"/>
      <c r="AW387" s="197"/>
      <c r="AX387" s="197"/>
      <c r="AY387" s="197"/>
      <c r="AZ387" s="197"/>
      <c r="BA387" s="197"/>
      <c r="BB387" s="197"/>
      <c r="BC387" s="197"/>
      <c r="BD387" s="197"/>
      <c r="BE387" s="197"/>
      <c r="BF387" s="197"/>
      <c r="BG387" s="197"/>
      <c r="BH387" s="197"/>
      <c r="BI387" s="197"/>
      <c r="BJ387" s="197"/>
      <c r="BK387" s="197"/>
      <c r="BL387" s="197"/>
      <c r="BM387" s="197"/>
      <c r="BN387" s="197"/>
      <c r="BO387" s="197"/>
      <c r="BP387" s="197"/>
      <c r="BQ387" s="197"/>
      <c r="BR387" s="197"/>
      <c r="BS387" s="197"/>
      <c r="BT387" s="197"/>
    </row>
    <row r="388">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c r="AA388" s="197"/>
      <c r="AB388" s="197"/>
      <c r="AC388" s="197"/>
      <c r="AD388" s="197"/>
      <c r="AE388" s="197"/>
      <c r="AF388" s="197"/>
      <c r="AG388" s="197"/>
      <c r="AH388" s="197"/>
      <c r="AI388" s="197"/>
      <c r="AJ388" s="197"/>
      <c r="AK388" s="197"/>
      <c r="AL388" s="197"/>
      <c r="AM388" s="197"/>
      <c r="AN388" s="197"/>
      <c r="AO388" s="197"/>
      <c r="AP388" s="197"/>
      <c r="AQ388" s="197"/>
      <c r="AR388" s="197"/>
      <c r="AS388" s="197"/>
      <c r="AT388" s="197"/>
      <c r="AU388" s="197"/>
      <c r="AV388" s="197"/>
      <c r="AW388" s="197"/>
      <c r="AX388" s="197"/>
      <c r="AY388" s="197"/>
      <c r="AZ388" s="197"/>
      <c r="BA388" s="197"/>
      <c r="BB388" s="197"/>
      <c r="BC388" s="197"/>
      <c r="BD388" s="197"/>
      <c r="BE388" s="197"/>
      <c r="BF388" s="197"/>
      <c r="BG388" s="197"/>
      <c r="BH388" s="197"/>
      <c r="BI388" s="197"/>
      <c r="BJ388" s="197"/>
      <c r="BK388" s="197"/>
      <c r="BL388" s="197"/>
      <c r="BM388" s="197"/>
      <c r="BN388" s="197"/>
      <c r="BO388" s="197"/>
      <c r="BP388" s="197"/>
      <c r="BQ388" s="197"/>
      <c r="BR388" s="197"/>
      <c r="BS388" s="197"/>
      <c r="BT388" s="197"/>
    </row>
    <row r="389">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c r="AA389" s="197"/>
      <c r="AB389" s="197"/>
      <c r="AC389" s="197"/>
      <c r="AD389" s="197"/>
      <c r="AE389" s="197"/>
      <c r="AF389" s="197"/>
      <c r="AG389" s="197"/>
      <c r="AH389" s="197"/>
      <c r="AI389" s="197"/>
      <c r="AJ389" s="197"/>
      <c r="AK389" s="197"/>
      <c r="AL389" s="197"/>
      <c r="AM389" s="197"/>
      <c r="AN389" s="197"/>
      <c r="AO389" s="197"/>
      <c r="AP389" s="197"/>
      <c r="AQ389" s="197"/>
      <c r="AR389" s="197"/>
      <c r="AS389" s="197"/>
      <c r="AT389" s="197"/>
      <c r="AU389" s="197"/>
      <c r="AV389" s="197"/>
      <c r="AW389" s="197"/>
      <c r="AX389" s="197"/>
      <c r="AY389" s="197"/>
      <c r="AZ389" s="197"/>
      <c r="BA389" s="197"/>
      <c r="BB389" s="197"/>
      <c r="BC389" s="197"/>
      <c r="BD389" s="197"/>
      <c r="BE389" s="197"/>
      <c r="BF389" s="197"/>
      <c r="BG389" s="197"/>
      <c r="BH389" s="197"/>
      <c r="BI389" s="197"/>
      <c r="BJ389" s="197"/>
      <c r="BK389" s="197"/>
      <c r="BL389" s="197"/>
      <c r="BM389" s="197"/>
      <c r="BN389" s="197"/>
      <c r="BO389" s="197"/>
      <c r="BP389" s="197"/>
      <c r="BQ389" s="197"/>
      <c r="BR389" s="197"/>
      <c r="BS389" s="197"/>
      <c r="BT389" s="197"/>
    </row>
    <row r="390">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c r="AA390" s="197"/>
      <c r="AB390" s="197"/>
      <c r="AC390" s="197"/>
      <c r="AD390" s="197"/>
      <c r="AE390" s="197"/>
      <c r="AF390" s="197"/>
      <c r="AG390" s="197"/>
      <c r="AH390" s="197"/>
      <c r="AI390" s="197"/>
      <c r="AJ390" s="197"/>
      <c r="AK390" s="197"/>
      <c r="AL390" s="197"/>
      <c r="AM390" s="197"/>
      <c r="AN390" s="197"/>
      <c r="AO390" s="197"/>
      <c r="AP390" s="197"/>
      <c r="AQ390" s="197"/>
      <c r="AR390" s="197"/>
      <c r="AS390" s="197"/>
      <c r="AT390" s="197"/>
      <c r="AU390" s="197"/>
      <c r="AV390" s="197"/>
      <c r="AW390" s="197"/>
      <c r="AX390" s="197"/>
      <c r="AY390" s="197"/>
      <c r="AZ390" s="197"/>
      <c r="BA390" s="197"/>
      <c r="BB390" s="197"/>
      <c r="BC390" s="197"/>
      <c r="BD390" s="197"/>
      <c r="BE390" s="197"/>
      <c r="BF390" s="197"/>
      <c r="BG390" s="197"/>
      <c r="BH390" s="197"/>
      <c r="BI390" s="197"/>
      <c r="BJ390" s="197"/>
      <c r="BK390" s="197"/>
      <c r="BL390" s="197"/>
      <c r="BM390" s="197"/>
      <c r="BN390" s="197"/>
      <c r="BO390" s="197"/>
      <c r="BP390" s="197"/>
      <c r="BQ390" s="197"/>
      <c r="BR390" s="197"/>
      <c r="BS390" s="197"/>
      <c r="BT390" s="197"/>
    </row>
    <row r="391">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c r="AA391" s="197"/>
      <c r="AB391" s="197"/>
      <c r="AC391" s="197"/>
      <c r="AD391" s="197"/>
      <c r="AE391" s="197"/>
      <c r="AF391" s="197"/>
      <c r="AG391" s="197"/>
      <c r="AH391" s="197"/>
      <c r="AI391" s="197"/>
      <c r="AJ391" s="197"/>
      <c r="AK391" s="197"/>
      <c r="AL391" s="197"/>
      <c r="AM391" s="197"/>
      <c r="AN391" s="197"/>
      <c r="AO391" s="197"/>
      <c r="AP391" s="197"/>
      <c r="AQ391" s="197"/>
      <c r="AR391" s="197"/>
      <c r="AS391" s="197"/>
      <c r="AT391" s="197"/>
      <c r="AU391" s="197"/>
      <c r="AV391" s="197"/>
      <c r="AW391" s="197"/>
      <c r="AX391" s="197"/>
      <c r="AY391" s="197"/>
      <c r="AZ391" s="197"/>
      <c r="BA391" s="197"/>
      <c r="BB391" s="197"/>
      <c r="BC391" s="197"/>
      <c r="BD391" s="197"/>
      <c r="BE391" s="197"/>
      <c r="BF391" s="197"/>
      <c r="BG391" s="197"/>
      <c r="BH391" s="197"/>
      <c r="BI391" s="197"/>
      <c r="BJ391" s="197"/>
      <c r="BK391" s="197"/>
      <c r="BL391" s="197"/>
      <c r="BM391" s="197"/>
      <c r="BN391" s="197"/>
      <c r="BO391" s="197"/>
      <c r="BP391" s="197"/>
      <c r="BQ391" s="197"/>
      <c r="BR391" s="197"/>
      <c r="BS391" s="197"/>
      <c r="BT391" s="197"/>
    </row>
    <row r="392">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c r="AA392" s="197"/>
      <c r="AB392" s="197"/>
      <c r="AC392" s="197"/>
      <c r="AD392" s="197"/>
      <c r="AE392" s="197"/>
      <c r="AF392" s="197"/>
      <c r="AG392" s="197"/>
      <c r="AH392" s="197"/>
      <c r="AI392" s="197"/>
      <c r="AJ392" s="197"/>
      <c r="AK392" s="197"/>
      <c r="AL392" s="197"/>
      <c r="AM392" s="197"/>
      <c r="AN392" s="197"/>
      <c r="AO392" s="197"/>
      <c r="AP392" s="197"/>
      <c r="AQ392" s="197"/>
      <c r="AR392" s="197"/>
      <c r="AS392" s="197"/>
      <c r="AT392" s="197"/>
      <c r="AU392" s="197"/>
      <c r="AV392" s="197"/>
      <c r="AW392" s="197"/>
      <c r="AX392" s="197"/>
      <c r="AY392" s="197"/>
      <c r="AZ392" s="197"/>
      <c r="BA392" s="197"/>
      <c r="BB392" s="197"/>
      <c r="BC392" s="197"/>
      <c r="BD392" s="197"/>
      <c r="BE392" s="197"/>
      <c r="BF392" s="197"/>
      <c r="BG392" s="197"/>
      <c r="BH392" s="197"/>
      <c r="BI392" s="197"/>
      <c r="BJ392" s="197"/>
      <c r="BK392" s="197"/>
      <c r="BL392" s="197"/>
      <c r="BM392" s="197"/>
      <c r="BN392" s="197"/>
      <c r="BO392" s="197"/>
      <c r="BP392" s="197"/>
      <c r="BQ392" s="197"/>
      <c r="BR392" s="197"/>
      <c r="BS392" s="197"/>
      <c r="BT392" s="197"/>
    </row>
    <row r="393">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c r="AA393" s="197"/>
      <c r="AB393" s="197"/>
      <c r="AC393" s="197"/>
      <c r="AD393" s="197"/>
      <c r="AE393" s="197"/>
      <c r="AF393" s="197"/>
      <c r="AG393" s="197"/>
      <c r="AH393" s="197"/>
      <c r="AI393" s="197"/>
      <c r="AJ393" s="197"/>
      <c r="AK393" s="197"/>
      <c r="AL393" s="197"/>
      <c r="AM393" s="197"/>
      <c r="AN393" s="197"/>
      <c r="AO393" s="197"/>
      <c r="AP393" s="197"/>
      <c r="AQ393" s="197"/>
      <c r="AR393" s="197"/>
      <c r="AS393" s="197"/>
      <c r="AT393" s="197"/>
      <c r="AU393" s="197"/>
      <c r="AV393" s="197"/>
      <c r="AW393" s="197"/>
      <c r="AX393" s="197"/>
      <c r="AY393" s="197"/>
      <c r="AZ393" s="197"/>
      <c r="BA393" s="197"/>
      <c r="BB393" s="197"/>
      <c r="BC393" s="197"/>
      <c r="BD393" s="197"/>
      <c r="BE393" s="197"/>
      <c r="BF393" s="197"/>
      <c r="BG393" s="197"/>
      <c r="BH393" s="197"/>
      <c r="BI393" s="197"/>
      <c r="BJ393" s="197"/>
      <c r="BK393" s="197"/>
      <c r="BL393" s="197"/>
      <c r="BM393" s="197"/>
      <c r="BN393" s="197"/>
      <c r="BO393" s="197"/>
      <c r="BP393" s="197"/>
      <c r="BQ393" s="197"/>
      <c r="BR393" s="197"/>
      <c r="BS393" s="197"/>
      <c r="BT393" s="197"/>
    </row>
    <row r="394">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c r="AA394" s="197"/>
      <c r="AB394" s="197"/>
      <c r="AC394" s="197"/>
      <c r="AD394" s="197"/>
      <c r="AE394" s="197"/>
      <c r="AF394" s="197"/>
      <c r="AG394" s="197"/>
      <c r="AH394" s="197"/>
      <c r="AI394" s="197"/>
      <c r="AJ394" s="197"/>
      <c r="AK394" s="197"/>
      <c r="AL394" s="197"/>
      <c r="AM394" s="197"/>
      <c r="AN394" s="197"/>
      <c r="AO394" s="197"/>
      <c r="AP394" s="197"/>
      <c r="AQ394" s="197"/>
      <c r="AR394" s="197"/>
      <c r="AS394" s="197"/>
      <c r="AT394" s="197"/>
      <c r="AU394" s="197"/>
      <c r="AV394" s="197"/>
      <c r="AW394" s="197"/>
      <c r="AX394" s="197"/>
      <c r="AY394" s="197"/>
      <c r="AZ394" s="197"/>
      <c r="BA394" s="197"/>
      <c r="BB394" s="197"/>
      <c r="BC394" s="197"/>
      <c r="BD394" s="197"/>
      <c r="BE394" s="197"/>
      <c r="BF394" s="197"/>
      <c r="BG394" s="197"/>
      <c r="BH394" s="197"/>
      <c r="BI394" s="197"/>
      <c r="BJ394" s="197"/>
      <c r="BK394" s="197"/>
      <c r="BL394" s="197"/>
      <c r="BM394" s="197"/>
      <c r="BN394" s="197"/>
      <c r="BO394" s="197"/>
      <c r="BP394" s="197"/>
      <c r="BQ394" s="197"/>
      <c r="BR394" s="197"/>
      <c r="BS394" s="197"/>
      <c r="BT394" s="197"/>
    </row>
    <row r="395">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c r="AA395" s="197"/>
      <c r="AB395" s="197"/>
      <c r="AC395" s="197"/>
      <c r="AD395" s="197"/>
      <c r="AE395" s="197"/>
      <c r="AF395" s="197"/>
      <c r="AG395" s="197"/>
      <c r="AH395" s="197"/>
      <c r="AI395" s="197"/>
      <c r="AJ395" s="197"/>
      <c r="AK395" s="197"/>
      <c r="AL395" s="197"/>
      <c r="AM395" s="197"/>
      <c r="AN395" s="197"/>
      <c r="AO395" s="197"/>
      <c r="AP395" s="197"/>
      <c r="AQ395" s="197"/>
      <c r="AR395" s="197"/>
      <c r="AS395" s="197"/>
      <c r="AT395" s="197"/>
      <c r="AU395" s="197"/>
      <c r="AV395" s="197"/>
      <c r="AW395" s="197"/>
      <c r="AX395" s="197"/>
      <c r="AY395" s="197"/>
      <c r="AZ395" s="197"/>
      <c r="BA395" s="197"/>
      <c r="BB395" s="197"/>
      <c r="BC395" s="197"/>
      <c r="BD395" s="197"/>
      <c r="BE395" s="197"/>
      <c r="BF395" s="197"/>
      <c r="BG395" s="197"/>
      <c r="BH395" s="197"/>
      <c r="BI395" s="197"/>
      <c r="BJ395" s="197"/>
      <c r="BK395" s="197"/>
      <c r="BL395" s="197"/>
      <c r="BM395" s="197"/>
      <c r="BN395" s="197"/>
      <c r="BO395" s="197"/>
      <c r="BP395" s="197"/>
      <c r="BQ395" s="197"/>
      <c r="BR395" s="197"/>
      <c r="BS395" s="197"/>
      <c r="BT395" s="197"/>
    </row>
    <row r="396">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c r="AA396" s="197"/>
      <c r="AB396" s="197"/>
      <c r="AC396" s="197"/>
      <c r="AD396" s="197"/>
      <c r="AE396" s="197"/>
      <c r="AF396" s="197"/>
      <c r="AG396" s="197"/>
      <c r="AH396" s="197"/>
      <c r="AI396" s="197"/>
      <c r="AJ396" s="197"/>
      <c r="AK396" s="197"/>
      <c r="AL396" s="197"/>
      <c r="AM396" s="197"/>
      <c r="AN396" s="197"/>
      <c r="AO396" s="197"/>
      <c r="AP396" s="197"/>
      <c r="AQ396" s="197"/>
      <c r="AR396" s="197"/>
      <c r="AS396" s="197"/>
      <c r="AT396" s="197"/>
      <c r="AU396" s="197"/>
      <c r="AV396" s="197"/>
      <c r="AW396" s="197"/>
      <c r="AX396" s="197"/>
      <c r="AY396" s="197"/>
      <c r="AZ396" s="197"/>
      <c r="BA396" s="197"/>
      <c r="BB396" s="197"/>
      <c r="BC396" s="197"/>
      <c r="BD396" s="197"/>
      <c r="BE396" s="197"/>
      <c r="BF396" s="197"/>
      <c r="BG396" s="197"/>
      <c r="BH396" s="197"/>
      <c r="BI396" s="197"/>
      <c r="BJ396" s="197"/>
      <c r="BK396" s="197"/>
      <c r="BL396" s="197"/>
      <c r="BM396" s="197"/>
      <c r="BN396" s="197"/>
      <c r="BO396" s="197"/>
      <c r="BP396" s="197"/>
      <c r="BQ396" s="197"/>
      <c r="BR396" s="197"/>
      <c r="BS396" s="197"/>
      <c r="BT396" s="197"/>
    </row>
    <row r="397">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c r="AA397" s="197"/>
      <c r="AB397" s="197"/>
      <c r="AC397" s="197"/>
      <c r="AD397" s="197"/>
      <c r="AE397" s="197"/>
      <c r="AF397" s="197"/>
      <c r="AG397" s="197"/>
      <c r="AH397" s="197"/>
      <c r="AI397" s="197"/>
      <c r="AJ397" s="197"/>
      <c r="AK397" s="197"/>
      <c r="AL397" s="197"/>
      <c r="AM397" s="197"/>
      <c r="AN397" s="197"/>
      <c r="AO397" s="197"/>
      <c r="AP397" s="197"/>
      <c r="AQ397" s="197"/>
      <c r="AR397" s="197"/>
      <c r="AS397" s="197"/>
      <c r="AT397" s="197"/>
      <c r="AU397" s="197"/>
      <c r="AV397" s="197"/>
      <c r="AW397" s="197"/>
      <c r="AX397" s="197"/>
      <c r="AY397" s="197"/>
      <c r="AZ397" s="197"/>
      <c r="BA397" s="197"/>
      <c r="BB397" s="197"/>
      <c r="BC397" s="197"/>
      <c r="BD397" s="197"/>
      <c r="BE397" s="197"/>
      <c r="BF397" s="197"/>
      <c r="BG397" s="197"/>
      <c r="BH397" s="197"/>
      <c r="BI397" s="197"/>
      <c r="BJ397" s="197"/>
      <c r="BK397" s="197"/>
      <c r="BL397" s="197"/>
      <c r="BM397" s="197"/>
      <c r="BN397" s="197"/>
      <c r="BO397" s="197"/>
      <c r="BP397" s="197"/>
      <c r="BQ397" s="197"/>
      <c r="BR397" s="197"/>
      <c r="BS397" s="197"/>
      <c r="BT397" s="197"/>
    </row>
    <row r="398">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c r="AA398" s="197"/>
      <c r="AB398" s="197"/>
      <c r="AC398" s="197"/>
      <c r="AD398" s="197"/>
      <c r="AE398" s="197"/>
      <c r="AF398" s="197"/>
      <c r="AG398" s="197"/>
      <c r="AH398" s="197"/>
      <c r="AI398" s="197"/>
      <c r="AJ398" s="197"/>
      <c r="AK398" s="197"/>
      <c r="AL398" s="197"/>
      <c r="AM398" s="197"/>
      <c r="AN398" s="197"/>
      <c r="AO398" s="197"/>
      <c r="AP398" s="197"/>
      <c r="AQ398" s="197"/>
      <c r="AR398" s="197"/>
      <c r="AS398" s="197"/>
      <c r="AT398" s="197"/>
      <c r="AU398" s="197"/>
      <c r="AV398" s="197"/>
      <c r="AW398" s="197"/>
      <c r="AX398" s="197"/>
      <c r="AY398" s="197"/>
      <c r="AZ398" s="197"/>
      <c r="BA398" s="197"/>
      <c r="BB398" s="197"/>
      <c r="BC398" s="197"/>
      <c r="BD398" s="197"/>
      <c r="BE398" s="197"/>
      <c r="BF398" s="197"/>
      <c r="BG398" s="197"/>
      <c r="BH398" s="197"/>
      <c r="BI398" s="197"/>
      <c r="BJ398" s="197"/>
      <c r="BK398" s="197"/>
      <c r="BL398" s="197"/>
      <c r="BM398" s="197"/>
      <c r="BN398" s="197"/>
      <c r="BO398" s="197"/>
      <c r="BP398" s="197"/>
      <c r="BQ398" s="197"/>
      <c r="BR398" s="197"/>
      <c r="BS398" s="197"/>
      <c r="BT398" s="197"/>
    </row>
    <row r="399">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c r="AA399" s="197"/>
      <c r="AB399" s="197"/>
      <c r="AC399" s="197"/>
      <c r="AD399" s="197"/>
      <c r="AE399" s="197"/>
      <c r="AF399" s="197"/>
      <c r="AG399" s="197"/>
      <c r="AH399" s="197"/>
      <c r="AI399" s="197"/>
      <c r="AJ399" s="197"/>
      <c r="AK399" s="197"/>
      <c r="AL399" s="197"/>
      <c r="AM399" s="197"/>
      <c r="AN399" s="197"/>
      <c r="AO399" s="197"/>
      <c r="AP399" s="197"/>
      <c r="AQ399" s="197"/>
      <c r="AR399" s="197"/>
      <c r="AS399" s="197"/>
      <c r="AT399" s="197"/>
      <c r="AU399" s="197"/>
      <c r="AV399" s="197"/>
      <c r="AW399" s="197"/>
      <c r="AX399" s="197"/>
      <c r="AY399" s="197"/>
      <c r="AZ399" s="197"/>
      <c r="BA399" s="197"/>
      <c r="BB399" s="197"/>
      <c r="BC399" s="197"/>
      <c r="BD399" s="197"/>
      <c r="BE399" s="197"/>
      <c r="BF399" s="197"/>
      <c r="BG399" s="197"/>
      <c r="BH399" s="197"/>
      <c r="BI399" s="197"/>
      <c r="BJ399" s="197"/>
      <c r="BK399" s="197"/>
      <c r="BL399" s="197"/>
      <c r="BM399" s="197"/>
      <c r="BN399" s="197"/>
      <c r="BO399" s="197"/>
      <c r="BP399" s="197"/>
      <c r="BQ399" s="197"/>
      <c r="BR399" s="197"/>
      <c r="BS399" s="197"/>
      <c r="BT399" s="197"/>
    </row>
    <row r="400">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c r="AA400" s="197"/>
      <c r="AB400" s="197"/>
      <c r="AC400" s="197"/>
      <c r="AD400" s="197"/>
      <c r="AE400" s="197"/>
      <c r="AF400" s="197"/>
      <c r="AG400" s="197"/>
      <c r="AH400" s="197"/>
      <c r="AI400" s="197"/>
      <c r="AJ400" s="197"/>
      <c r="AK400" s="197"/>
      <c r="AL400" s="197"/>
      <c r="AM400" s="197"/>
      <c r="AN400" s="197"/>
      <c r="AO400" s="197"/>
      <c r="AP400" s="197"/>
      <c r="AQ400" s="197"/>
      <c r="AR400" s="197"/>
      <c r="AS400" s="197"/>
      <c r="AT400" s="197"/>
      <c r="AU400" s="197"/>
      <c r="AV400" s="197"/>
      <c r="AW400" s="197"/>
      <c r="AX400" s="197"/>
      <c r="AY400" s="197"/>
      <c r="AZ400" s="197"/>
      <c r="BA400" s="197"/>
      <c r="BB400" s="197"/>
      <c r="BC400" s="197"/>
      <c r="BD400" s="197"/>
      <c r="BE400" s="197"/>
      <c r="BF400" s="197"/>
      <c r="BG400" s="197"/>
      <c r="BH400" s="197"/>
      <c r="BI400" s="197"/>
      <c r="BJ400" s="197"/>
      <c r="BK400" s="197"/>
      <c r="BL400" s="197"/>
      <c r="BM400" s="197"/>
      <c r="BN400" s="197"/>
      <c r="BO400" s="197"/>
      <c r="BP400" s="197"/>
      <c r="BQ400" s="197"/>
      <c r="BR400" s="197"/>
      <c r="BS400" s="197"/>
      <c r="BT400" s="197"/>
    </row>
    <row r="401">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c r="AA401" s="197"/>
      <c r="AB401" s="197"/>
      <c r="AC401" s="197"/>
      <c r="AD401" s="197"/>
      <c r="AE401" s="197"/>
      <c r="AF401" s="197"/>
      <c r="AG401" s="197"/>
      <c r="AH401" s="197"/>
      <c r="AI401" s="197"/>
      <c r="AJ401" s="197"/>
      <c r="AK401" s="197"/>
      <c r="AL401" s="197"/>
      <c r="AM401" s="197"/>
      <c r="AN401" s="197"/>
      <c r="AO401" s="197"/>
      <c r="AP401" s="197"/>
      <c r="AQ401" s="197"/>
      <c r="AR401" s="197"/>
      <c r="AS401" s="197"/>
      <c r="AT401" s="197"/>
      <c r="AU401" s="197"/>
      <c r="AV401" s="197"/>
      <c r="AW401" s="197"/>
      <c r="AX401" s="197"/>
      <c r="AY401" s="197"/>
      <c r="AZ401" s="197"/>
      <c r="BA401" s="197"/>
      <c r="BB401" s="197"/>
      <c r="BC401" s="197"/>
      <c r="BD401" s="197"/>
      <c r="BE401" s="197"/>
      <c r="BF401" s="197"/>
      <c r="BG401" s="197"/>
      <c r="BH401" s="197"/>
      <c r="BI401" s="197"/>
      <c r="BJ401" s="197"/>
      <c r="BK401" s="197"/>
      <c r="BL401" s="197"/>
      <c r="BM401" s="197"/>
      <c r="BN401" s="197"/>
      <c r="BO401" s="197"/>
      <c r="BP401" s="197"/>
      <c r="BQ401" s="197"/>
      <c r="BR401" s="197"/>
      <c r="BS401" s="197"/>
      <c r="BT401" s="197"/>
    </row>
    <row r="402">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c r="AA402" s="197"/>
      <c r="AB402" s="197"/>
      <c r="AC402" s="197"/>
      <c r="AD402" s="197"/>
      <c r="AE402" s="197"/>
      <c r="AF402" s="197"/>
      <c r="AG402" s="197"/>
      <c r="AH402" s="197"/>
      <c r="AI402" s="197"/>
      <c r="AJ402" s="197"/>
      <c r="AK402" s="197"/>
      <c r="AL402" s="197"/>
      <c r="AM402" s="197"/>
      <c r="AN402" s="197"/>
      <c r="AO402" s="197"/>
      <c r="AP402" s="197"/>
      <c r="AQ402" s="197"/>
      <c r="AR402" s="197"/>
      <c r="AS402" s="197"/>
      <c r="AT402" s="197"/>
      <c r="AU402" s="197"/>
      <c r="AV402" s="197"/>
      <c r="AW402" s="197"/>
      <c r="AX402" s="197"/>
      <c r="AY402" s="197"/>
      <c r="AZ402" s="197"/>
      <c r="BA402" s="197"/>
      <c r="BB402" s="197"/>
      <c r="BC402" s="197"/>
      <c r="BD402" s="197"/>
      <c r="BE402" s="197"/>
      <c r="BF402" s="197"/>
      <c r="BG402" s="197"/>
      <c r="BH402" s="197"/>
      <c r="BI402" s="197"/>
      <c r="BJ402" s="197"/>
      <c r="BK402" s="197"/>
      <c r="BL402" s="197"/>
      <c r="BM402" s="197"/>
      <c r="BN402" s="197"/>
      <c r="BO402" s="197"/>
      <c r="BP402" s="197"/>
      <c r="BQ402" s="197"/>
      <c r="BR402" s="197"/>
      <c r="BS402" s="197"/>
      <c r="BT402" s="197"/>
    </row>
    <row r="403">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c r="AA403" s="197"/>
      <c r="AB403" s="197"/>
      <c r="AC403" s="197"/>
      <c r="AD403" s="197"/>
      <c r="AE403" s="197"/>
      <c r="AF403" s="197"/>
      <c r="AG403" s="197"/>
      <c r="AH403" s="197"/>
      <c r="AI403" s="197"/>
      <c r="AJ403" s="197"/>
      <c r="AK403" s="197"/>
      <c r="AL403" s="197"/>
      <c r="AM403" s="197"/>
      <c r="AN403" s="197"/>
      <c r="AO403" s="197"/>
      <c r="AP403" s="197"/>
      <c r="AQ403" s="197"/>
      <c r="AR403" s="197"/>
      <c r="AS403" s="197"/>
      <c r="AT403" s="197"/>
      <c r="AU403" s="197"/>
      <c r="AV403" s="197"/>
      <c r="AW403" s="197"/>
      <c r="AX403" s="197"/>
      <c r="AY403" s="197"/>
      <c r="AZ403" s="197"/>
      <c r="BA403" s="197"/>
      <c r="BB403" s="197"/>
      <c r="BC403" s="197"/>
      <c r="BD403" s="197"/>
      <c r="BE403" s="197"/>
      <c r="BF403" s="197"/>
      <c r="BG403" s="197"/>
      <c r="BH403" s="197"/>
      <c r="BI403" s="197"/>
      <c r="BJ403" s="197"/>
      <c r="BK403" s="197"/>
      <c r="BL403" s="197"/>
      <c r="BM403" s="197"/>
      <c r="BN403" s="197"/>
      <c r="BO403" s="197"/>
      <c r="BP403" s="197"/>
      <c r="BQ403" s="197"/>
      <c r="BR403" s="197"/>
      <c r="BS403" s="197"/>
      <c r="BT403" s="197"/>
    </row>
    <row r="404">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c r="AA404" s="197"/>
      <c r="AB404" s="197"/>
      <c r="AC404" s="197"/>
      <c r="AD404" s="197"/>
      <c r="AE404" s="197"/>
      <c r="AF404" s="197"/>
      <c r="AG404" s="197"/>
      <c r="AH404" s="197"/>
      <c r="AI404" s="197"/>
      <c r="AJ404" s="197"/>
      <c r="AK404" s="197"/>
      <c r="AL404" s="197"/>
      <c r="AM404" s="197"/>
      <c r="AN404" s="197"/>
      <c r="AO404" s="197"/>
      <c r="AP404" s="197"/>
      <c r="AQ404" s="197"/>
      <c r="AR404" s="197"/>
      <c r="AS404" s="197"/>
      <c r="AT404" s="197"/>
      <c r="AU404" s="197"/>
      <c r="AV404" s="197"/>
      <c r="AW404" s="197"/>
      <c r="AX404" s="197"/>
      <c r="AY404" s="197"/>
      <c r="AZ404" s="197"/>
      <c r="BA404" s="197"/>
      <c r="BB404" s="197"/>
      <c r="BC404" s="197"/>
      <c r="BD404" s="197"/>
      <c r="BE404" s="197"/>
      <c r="BF404" s="197"/>
      <c r="BG404" s="197"/>
      <c r="BH404" s="197"/>
      <c r="BI404" s="197"/>
      <c r="BJ404" s="197"/>
      <c r="BK404" s="197"/>
      <c r="BL404" s="197"/>
      <c r="BM404" s="197"/>
      <c r="BN404" s="197"/>
      <c r="BO404" s="197"/>
      <c r="BP404" s="197"/>
      <c r="BQ404" s="197"/>
      <c r="BR404" s="197"/>
      <c r="BS404" s="197"/>
      <c r="BT404" s="197"/>
    </row>
    <row r="405">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c r="AA405" s="197"/>
      <c r="AB405" s="197"/>
      <c r="AC405" s="197"/>
      <c r="AD405" s="197"/>
      <c r="AE405" s="197"/>
      <c r="AF405" s="197"/>
      <c r="AG405" s="197"/>
      <c r="AH405" s="197"/>
      <c r="AI405" s="197"/>
      <c r="AJ405" s="197"/>
      <c r="AK405" s="197"/>
      <c r="AL405" s="197"/>
      <c r="AM405" s="197"/>
      <c r="AN405" s="197"/>
      <c r="AO405" s="197"/>
      <c r="AP405" s="197"/>
      <c r="AQ405" s="197"/>
      <c r="AR405" s="197"/>
      <c r="AS405" s="197"/>
      <c r="AT405" s="197"/>
      <c r="AU405" s="197"/>
      <c r="AV405" s="197"/>
      <c r="AW405" s="197"/>
      <c r="AX405" s="197"/>
      <c r="AY405" s="197"/>
      <c r="AZ405" s="197"/>
      <c r="BA405" s="197"/>
      <c r="BB405" s="197"/>
      <c r="BC405" s="197"/>
      <c r="BD405" s="197"/>
      <c r="BE405" s="197"/>
      <c r="BF405" s="197"/>
      <c r="BG405" s="197"/>
      <c r="BH405" s="197"/>
      <c r="BI405" s="197"/>
      <c r="BJ405" s="197"/>
      <c r="BK405" s="197"/>
      <c r="BL405" s="197"/>
      <c r="BM405" s="197"/>
      <c r="BN405" s="197"/>
      <c r="BO405" s="197"/>
      <c r="BP405" s="197"/>
      <c r="BQ405" s="197"/>
      <c r="BR405" s="197"/>
      <c r="BS405" s="197"/>
      <c r="BT405" s="197"/>
    </row>
    <row r="406">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c r="AA406" s="197"/>
      <c r="AB406" s="197"/>
      <c r="AC406" s="197"/>
      <c r="AD406" s="197"/>
      <c r="AE406" s="197"/>
      <c r="AF406" s="197"/>
      <c r="AG406" s="197"/>
      <c r="AH406" s="197"/>
      <c r="AI406" s="197"/>
      <c r="AJ406" s="197"/>
      <c r="AK406" s="197"/>
      <c r="AL406" s="197"/>
      <c r="AM406" s="197"/>
      <c r="AN406" s="197"/>
      <c r="AO406" s="197"/>
      <c r="AP406" s="197"/>
      <c r="AQ406" s="197"/>
      <c r="AR406" s="197"/>
      <c r="AS406" s="197"/>
      <c r="AT406" s="197"/>
      <c r="AU406" s="197"/>
      <c r="AV406" s="197"/>
      <c r="AW406" s="197"/>
      <c r="AX406" s="197"/>
      <c r="AY406" s="197"/>
      <c r="AZ406" s="197"/>
      <c r="BA406" s="197"/>
      <c r="BB406" s="197"/>
      <c r="BC406" s="197"/>
      <c r="BD406" s="197"/>
      <c r="BE406" s="197"/>
      <c r="BF406" s="197"/>
      <c r="BG406" s="197"/>
      <c r="BH406" s="197"/>
      <c r="BI406" s="197"/>
      <c r="BJ406" s="197"/>
      <c r="BK406" s="197"/>
      <c r="BL406" s="197"/>
      <c r="BM406" s="197"/>
      <c r="BN406" s="197"/>
      <c r="BO406" s="197"/>
      <c r="BP406" s="197"/>
      <c r="BQ406" s="197"/>
      <c r="BR406" s="197"/>
      <c r="BS406" s="197"/>
      <c r="BT406" s="197"/>
    </row>
    <row r="407">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c r="AA407" s="197"/>
      <c r="AB407" s="197"/>
      <c r="AC407" s="197"/>
      <c r="AD407" s="197"/>
      <c r="AE407" s="197"/>
      <c r="AF407" s="197"/>
      <c r="AG407" s="197"/>
      <c r="AH407" s="197"/>
      <c r="AI407" s="197"/>
      <c r="AJ407" s="197"/>
      <c r="AK407" s="197"/>
      <c r="AL407" s="197"/>
      <c r="AM407" s="197"/>
      <c r="AN407" s="197"/>
      <c r="AO407" s="197"/>
      <c r="AP407" s="197"/>
      <c r="AQ407" s="197"/>
      <c r="AR407" s="197"/>
      <c r="AS407" s="197"/>
      <c r="AT407" s="197"/>
      <c r="AU407" s="197"/>
      <c r="AV407" s="197"/>
      <c r="AW407" s="197"/>
      <c r="AX407" s="197"/>
      <c r="AY407" s="197"/>
      <c r="AZ407" s="197"/>
      <c r="BA407" s="197"/>
      <c r="BB407" s="197"/>
      <c r="BC407" s="197"/>
      <c r="BD407" s="197"/>
      <c r="BE407" s="197"/>
      <c r="BF407" s="197"/>
      <c r="BG407" s="197"/>
      <c r="BH407" s="197"/>
      <c r="BI407" s="197"/>
      <c r="BJ407" s="197"/>
      <c r="BK407" s="197"/>
      <c r="BL407" s="197"/>
      <c r="BM407" s="197"/>
      <c r="BN407" s="197"/>
      <c r="BO407" s="197"/>
      <c r="BP407" s="197"/>
      <c r="BQ407" s="197"/>
      <c r="BR407" s="197"/>
      <c r="BS407" s="197"/>
      <c r="BT407" s="197"/>
    </row>
    <row r="408">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c r="AA408" s="197"/>
      <c r="AB408" s="197"/>
      <c r="AC408" s="197"/>
      <c r="AD408" s="197"/>
      <c r="AE408" s="197"/>
      <c r="AF408" s="197"/>
      <c r="AG408" s="197"/>
      <c r="AH408" s="197"/>
      <c r="AI408" s="197"/>
      <c r="AJ408" s="197"/>
      <c r="AK408" s="197"/>
      <c r="AL408" s="197"/>
      <c r="AM408" s="197"/>
      <c r="AN408" s="197"/>
      <c r="AO408" s="197"/>
      <c r="AP408" s="197"/>
      <c r="AQ408" s="197"/>
      <c r="AR408" s="197"/>
      <c r="AS408" s="197"/>
      <c r="AT408" s="197"/>
      <c r="AU408" s="197"/>
      <c r="AV408" s="197"/>
      <c r="AW408" s="197"/>
      <c r="AX408" s="197"/>
      <c r="AY408" s="197"/>
      <c r="AZ408" s="197"/>
      <c r="BA408" s="197"/>
      <c r="BB408" s="197"/>
      <c r="BC408" s="197"/>
      <c r="BD408" s="197"/>
      <c r="BE408" s="197"/>
      <c r="BF408" s="197"/>
      <c r="BG408" s="197"/>
      <c r="BH408" s="197"/>
      <c r="BI408" s="197"/>
      <c r="BJ408" s="197"/>
      <c r="BK408" s="197"/>
      <c r="BL408" s="197"/>
      <c r="BM408" s="197"/>
      <c r="BN408" s="197"/>
      <c r="BO408" s="197"/>
      <c r="BP408" s="197"/>
      <c r="BQ408" s="197"/>
      <c r="BR408" s="197"/>
      <c r="BS408" s="197"/>
      <c r="BT408" s="197"/>
    </row>
    <row r="409">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c r="AA409" s="197"/>
      <c r="AB409" s="197"/>
      <c r="AC409" s="197"/>
      <c r="AD409" s="197"/>
      <c r="AE409" s="197"/>
      <c r="AF409" s="197"/>
      <c r="AG409" s="197"/>
      <c r="AH409" s="197"/>
      <c r="AI409" s="197"/>
      <c r="AJ409" s="197"/>
      <c r="AK409" s="197"/>
      <c r="AL409" s="197"/>
      <c r="AM409" s="197"/>
      <c r="AN409" s="197"/>
      <c r="AO409" s="197"/>
      <c r="AP409" s="197"/>
      <c r="AQ409" s="197"/>
      <c r="AR409" s="197"/>
      <c r="AS409" s="197"/>
      <c r="AT409" s="197"/>
      <c r="AU409" s="197"/>
      <c r="AV409" s="197"/>
      <c r="AW409" s="197"/>
      <c r="AX409" s="197"/>
      <c r="AY409" s="197"/>
      <c r="AZ409" s="197"/>
      <c r="BA409" s="197"/>
      <c r="BB409" s="197"/>
      <c r="BC409" s="197"/>
      <c r="BD409" s="197"/>
      <c r="BE409" s="197"/>
      <c r="BF409" s="197"/>
      <c r="BG409" s="197"/>
      <c r="BH409" s="197"/>
      <c r="BI409" s="197"/>
      <c r="BJ409" s="197"/>
      <c r="BK409" s="197"/>
      <c r="BL409" s="197"/>
      <c r="BM409" s="197"/>
      <c r="BN409" s="197"/>
      <c r="BO409" s="197"/>
      <c r="BP409" s="197"/>
      <c r="BQ409" s="197"/>
      <c r="BR409" s="197"/>
      <c r="BS409" s="197"/>
      <c r="BT409" s="197"/>
    </row>
    <row r="410">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c r="AA410" s="197"/>
      <c r="AB410" s="197"/>
      <c r="AC410" s="197"/>
      <c r="AD410" s="197"/>
      <c r="AE410" s="197"/>
      <c r="AF410" s="197"/>
      <c r="AG410" s="197"/>
      <c r="AH410" s="197"/>
      <c r="AI410" s="197"/>
      <c r="AJ410" s="197"/>
      <c r="AK410" s="197"/>
      <c r="AL410" s="197"/>
      <c r="AM410" s="197"/>
      <c r="AN410" s="197"/>
      <c r="AO410" s="197"/>
      <c r="AP410" s="197"/>
      <c r="AQ410" s="197"/>
      <c r="AR410" s="197"/>
      <c r="AS410" s="197"/>
      <c r="AT410" s="197"/>
      <c r="AU410" s="197"/>
      <c r="AV410" s="197"/>
      <c r="AW410" s="197"/>
      <c r="AX410" s="197"/>
      <c r="AY410" s="197"/>
      <c r="AZ410" s="197"/>
      <c r="BA410" s="197"/>
      <c r="BB410" s="197"/>
      <c r="BC410" s="197"/>
      <c r="BD410" s="197"/>
      <c r="BE410" s="197"/>
      <c r="BF410" s="197"/>
      <c r="BG410" s="197"/>
      <c r="BH410" s="197"/>
      <c r="BI410" s="197"/>
      <c r="BJ410" s="197"/>
      <c r="BK410" s="197"/>
      <c r="BL410" s="197"/>
      <c r="BM410" s="197"/>
      <c r="BN410" s="197"/>
      <c r="BO410" s="197"/>
      <c r="BP410" s="197"/>
      <c r="BQ410" s="197"/>
      <c r="BR410" s="197"/>
      <c r="BS410" s="197"/>
      <c r="BT410" s="197"/>
    </row>
    <row r="411">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c r="AA411" s="197"/>
      <c r="AB411" s="197"/>
      <c r="AC411" s="197"/>
      <c r="AD411" s="197"/>
      <c r="AE411" s="197"/>
      <c r="AF411" s="197"/>
      <c r="AG411" s="197"/>
      <c r="AH411" s="197"/>
      <c r="AI411" s="197"/>
      <c r="AJ411" s="197"/>
      <c r="AK411" s="197"/>
      <c r="AL411" s="197"/>
      <c r="AM411" s="197"/>
      <c r="AN411" s="197"/>
      <c r="AO411" s="197"/>
      <c r="AP411" s="197"/>
      <c r="AQ411" s="197"/>
      <c r="AR411" s="197"/>
      <c r="AS411" s="197"/>
      <c r="AT411" s="197"/>
      <c r="AU411" s="197"/>
      <c r="AV411" s="197"/>
      <c r="AW411" s="197"/>
      <c r="AX411" s="197"/>
      <c r="AY411" s="197"/>
      <c r="AZ411" s="197"/>
      <c r="BA411" s="197"/>
      <c r="BB411" s="197"/>
      <c r="BC411" s="197"/>
      <c r="BD411" s="197"/>
      <c r="BE411" s="197"/>
      <c r="BF411" s="197"/>
      <c r="BG411" s="197"/>
      <c r="BH411" s="197"/>
      <c r="BI411" s="197"/>
      <c r="BJ411" s="197"/>
      <c r="BK411" s="197"/>
      <c r="BL411" s="197"/>
      <c r="BM411" s="197"/>
      <c r="BN411" s="197"/>
      <c r="BO411" s="197"/>
      <c r="BP411" s="197"/>
      <c r="BQ411" s="197"/>
      <c r="BR411" s="197"/>
      <c r="BS411" s="197"/>
      <c r="BT411" s="197"/>
    </row>
    <row r="412">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c r="AA412" s="197"/>
      <c r="AB412" s="197"/>
      <c r="AC412" s="197"/>
      <c r="AD412" s="197"/>
      <c r="AE412" s="197"/>
      <c r="AF412" s="197"/>
      <c r="AG412" s="197"/>
      <c r="AH412" s="197"/>
      <c r="AI412" s="197"/>
      <c r="AJ412" s="197"/>
      <c r="AK412" s="197"/>
      <c r="AL412" s="197"/>
      <c r="AM412" s="197"/>
      <c r="AN412" s="197"/>
      <c r="AO412" s="197"/>
      <c r="AP412" s="197"/>
      <c r="AQ412" s="197"/>
      <c r="AR412" s="197"/>
      <c r="AS412" s="197"/>
      <c r="AT412" s="197"/>
      <c r="AU412" s="197"/>
      <c r="AV412" s="197"/>
      <c r="AW412" s="197"/>
      <c r="AX412" s="197"/>
      <c r="AY412" s="197"/>
      <c r="AZ412" s="197"/>
      <c r="BA412" s="197"/>
      <c r="BB412" s="197"/>
      <c r="BC412" s="197"/>
      <c r="BD412" s="197"/>
      <c r="BE412" s="197"/>
      <c r="BF412" s="197"/>
      <c r="BG412" s="197"/>
      <c r="BH412" s="197"/>
      <c r="BI412" s="197"/>
      <c r="BJ412" s="197"/>
      <c r="BK412" s="197"/>
      <c r="BL412" s="197"/>
      <c r="BM412" s="197"/>
      <c r="BN412" s="197"/>
      <c r="BO412" s="197"/>
      <c r="BP412" s="197"/>
      <c r="BQ412" s="197"/>
      <c r="BR412" s="197"/>
      <c r="BS412" s="197"/>
      <c r="BT412" s="197"/>
    </row>
    <row r="413">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c r="AA413" s="197"/>
      <c r="AB413" s="197"/>
      <c r="AC413" s="197"/>
      <c r="AD413" s="197"/>
      <c r="AE413" s="197"/>
      <c r="AF413" s="197"/>
      <c r="AG413" s="197"/>
      <c r="AH413" s="197"/>
      <c r="AI413" s="197"/>
      <c r="AJ413" s="197"/>
      <c r="AK413" s="197"/>
      <c r="AL413" s="197"/>
      <c r="AM413" s="197"/>
      <c r="AN413" s="197"/>
      <c r="AO413" s="197"/>
      <c r="AP413" s="197"/>
      <c r="AQ413" s="197"/>
      <c r="AR413" s="197"/>
      <c r="AS413" s="197"/>
      <c r="AT413" s="197"/>
      <c r="AU413" s="197"/>
      <c r="AV413" s="197"/>
      <c r="AW413" s="197"/>
      <c r="AX413" s="197"/>
      <c r="AY413" s="197"/>
      <c r="AZ413" s="197"/>
      <c r="BA413" s="197"/>
      <c r="BB413" s="197"/>
      <c r="BC413" s="197"/>
      <c r="BD413" s="197"/>
      <c r="BE413" s="197"/>
      <c r="BF413" s="197"/>
      <c r="BG413" s="197"/>
      <c r="BH413" s="197"/>
      <c r="BI413" s="197"/>
      <c r="BJ413" s="197"/>
      <c r="BK413" s="197"/>
      <c r="BL413" s="197"/>
      <c r="BM413" s="197"/>
      <c r="BN413" s="197"/>
      <c r="BO413" s="197"/>
      <c r="BP413" s="197"/>
      <c r="BQ413" s="197"/>
      <c r="BR413" s="197"/>
      <c r="BS413" s="197"/>
      <c r="BT413" s="197"/>
    </row>
    <row r="414">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c r="AA414" s="197"/>
      <c r="AB414" s="197"/>
      <c r="AC414" s="197"/>
      <c r="AD414" s="197"/>
      <c r="AE414" s="197"/>
      <c r="AF414" s="197"/>
      <c r="AG414" s="197"/>
      <c r="AH414" s="197"/>
      <c r="AI414" s="197"/>
      <c r="AJ414" s="197"/>
      <c r="AK414" s="197"/>
      <c r="AL414" s="197"/>
      <c r="AM414" s="197"/>
      <c r="AN414" s="197"/>
      <c r="AO414" s="197"/>
      <c r="AP414" s="197"/>
      <c r="AQ414" s="197"/>
      <c r="AR414" s="197"/>
      <c r="AS414" s="197"/>
      <c r="AT414" s="197"/>
      <c r="AU414" s="197"/>
      <c r="AV414" s="197"/>
      <c r="AW414" s="197"/>
      <c r="AX414" s="197"/>
      <c r="AY414" s="197"/>
      <c r="AZ414" s="197"/>
      <c r="BA414" s="197"/>
      <c r="BB414" s="197"/>
      <c r="BC414" s="197"/>
      <c r="BD414" s="197"/>
      <c r="BE414" s="197"/>
      <c r="BF414" s="197"/>
      <c r="BG414" s="197"/>
      <c r="BH414" s="197"/>
      <c r="BI414" s="197"/>
      <c r="BJ414" s="197"/>
      <c r="BK414" s="197"/>
      <c r="BL414" s="197"/>
      <c r="BM414" s="197"/>
      <c r="BN414" s="197"/>
      <c r="BO414" s="197"/>
      <c r="BP414" s="197"/>
      <c r="BQ414" s="197"/>
      <c r="BR414" s="197"/>
      <c r="BS414" s="197"/>
      <c r="BT414" s="197"/>
    </row>
    <row r="415">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c r="AA415" s="197"/>
      <c r="AB415" s="197"/>
      <c r="AC415" s="197"/>
      <c r="AD415" s="197"/>
      <c r="AE415" s="197"/>
      <c r="AF415" s="197"/>
      <c r="AG415" s="197"/>
      <c r="AH415" s="197"/>
      <c r="AI415" s="197"/>
      <c r="AJ415" s="197"/>
      <c r="AK415" s="197"/>
      <c r="AL415" s="197"/>
      <c r="AM415" s="197"/>
      <c r="AN415" s="197"/>
      <c r="AO415" s="197"/>
      <c r="AP415" s="197"/>
      <c r="AQ415" s="197"/>
      <c r="AR415" s="197"/>
      <c r="AS415" s="197"/>
      <c r="AT415" s="197"/>
      <c r="AU415" s="197"/>
      <c r="AV415" s="197"/>
      <c r="AW415" s="197"/>
      <c r="AX415" s="197"/>
      <c r="AY415" s="197"/>
      <c r="AZ415" s="197"/>
      <c r="BA415" s="197"/>
      <c r="BB415" s="197"/>
      <c r="BC415" s="197"/>
      <c r="BD415" s="197"/>
      <c r="BE415" s="197"/>
      <c r="BF415" s="197"/>
      <c r="BG415" s="197"/>
      <c r="BH415" s="197"/>
      <c r="BI415" s="197"/>
      <c r="BJ415" s="197"/>
      <c r="BK415" s="197"/>
      <c r="BL415" s="197"/>
      <c r="BM415" s="197"/>
      <c r="BN415" s="197"/>
      <c r="BO415" s="197"/>
      <c r="BP415" s="197"/>
      <c r="BQ415" s="197"/>
      <c r="BR415" s="197"/>
      <c r="BS415" s="197"/>
      <c r="BT415" s="197"/>
    </row>
    <row r="416">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c r="AA416" s="197"/>
      <c r="AB416" s="197"/>
      <c r="AC416" s="197"/>
      <c r="AD416" s="197"/>
      <c r="AE416" s="197"/>
      <c r="AF416" s="197"/>
      <c r="AG416" s="197"/>
      <c r="AH416" s="197"/>
      <c r="AI416" s="197"/>
      <c r="AJ416" s="197"/>
      <c r="AK416" s="197"/>
      <c r="AL416" s="197"/>
      <c r="AM416" s="197"/>
      <c r="AN416" s="197"/>
      <c r="AO416" s="197"/>
      <c r="AP416" s="197"/>
      <c r="AQ416" s="197"/>
      <c r="AR416" s="197"/>
      <c r="AS416" s="197"/>
      <c r="AT416" s="197"/>
      <c r="AU416" s="197"/>
      <c r="AV416" s="197"/>
      <c r="AW416" s="197"/>
      <c r="AX416" s="197"/>
      <c r="AY416" s="197"/>
      <c r="AZ416" s="197"/>
      <c r="BA416" s="197"/>
      <c r="BB416" s="197"/>
      <c r="BC416" s="197"/>
      <c r="BD416" s="197"/>
      <c r="BE416" s="197"/>
      <c r="BF416" s="197"/>
      <c r="BG416" s="197"/>
      <c r="BH416" s="197"/>
      <c r="BI416" s="197"/>
      <c r="BJ416" s="197"/>
      <c r="BK416" s="197"/>
      <c r="BL416" s="197"/>
      <c r="BM416" s="197"/>
      <c r="BN416" s="197"/>
      <c r="BO416" s="197"/>
      <c r="BP416" s="197"/>
      <c r="BQ416" s="197"/>
      <c r="BR416" s="197"/>
      <c r="BS416" s="197"/>
      <c r="BT416" s="197"/>
    </row>
    <row r="417">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c r="AA417" s="197"/>
      <c r="AB417" s="197"/>
      <c r="AC417" s="197"/>
      <c r="AD417" s="197"/>
      <c r="AE417" s="197"/>
      <c r="AF417" s="197"/>
      <c r="AG417" s="197"/>
      <c r="AH417" s="197"/>
      <c r="AI417" s="197"/>
      <c r="AJ417" s="197"/>
      <c r="AK417" s="197"/>
      <c r="AL417" s="197"/>
      <c r="AM417" s="197"/>
      <c r="AN417" s="197"/>
      <c r="AO417" s="197"/>
      <c r="AP417" s="197"/>
      <c r="AQ417" s="197"/>
      <c r="AR417" s="197"/>
      <c r="AS417" s="197"/>
      <c r="AT417" s="197"/>
      <c r="AU417" s="197"/>
      <c r="AV417" s="197"/>
      <c r="AW417" s="197"/>
      <c r="AX417" s="197"/>
      <c r="AY417" s="197"/>
      <c r="AZ417" s="197"/>
      <c r="BA417" s="197"/>
      <c r="BB417" s="197"/>
      <c r="BC417" s="197"/>
      <c r="BD417" s="197"/>
      <c r="BE417" s="197"/>
      <c r="BF417" s="197"/>
      <c r="BG417" s="197"/>
      <c r="BH417" s="197"/>
      <c r="BI417" s="197"/>
      <c r="BJ417" s="197"/>
      <c r="BK417" s="197"/>
      <c r="BL417" s="197"/>
      <c r="BM417" s="197"/>
      <c r="BN417" s="197"/>
      <c r="BO417" s="197"/>
      <c r="BP417" s="197"/>
      <c r="BQ417" s="197"/>
      <c r="BR417" s="197"/>
      <c r="BS417" s="197"/>
      <c r="BT417" s="197"/>
    </row>
    <row r="418">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c r="AA418" s="197"/>
      <c r="AB418" s="197"/>
      <c r="AC418" s="197"/>
      <c r="AD418" s="197"/>
      <c r="AE418" s="197"/>
      <c r="AF418" s="197"/>
      <c r="AG418" s="197"/>
      <c r="AH418" s="197"/>
      <c r="AI418" s="197"/>
      <c r="AJ418" s="197"/>
      <c r="AK418" s="197"/>
      <c r="AL418" s="197"/>
      <c r="AM418" s="197"/>
      <c r="AN418" s="197"/>
      <c r="AO418" s="197"/>
      <c r="AP418" s="197"/>
      <c r="AQ418" s="197"/>
      <c r="AR418" s="197"/>
      <c r="AS418" s="197"/>
      <c r="AT418" s="197"/>
      <c r="AU418" s="197"/>
      <c r="AV418" s="197"/>
      <c r="AW418" s="197"/>
      <c r="AX418" s="197"/>
      <c r="AY418" s="197"/>
      <c r="AZ418" s="197"/>
      <c r="BA418" s="197"/>
      <c r="BB418" s="197"/>
      <c r="BC418" s="197"/>
      <c r="BD418" s="197"/>
      <c r="BE418" s="197"/>
      <c r="BF418" s="197"/>
      <c r="BG418" s="197"/>
      <c r="BH418" s="197"/>
      <c r="BI418" s="197"/>
      <c r="BJ418" s="197"/>
      <c r="BK418" s="197"/>
      <c r="BL418" s="197"/>
      <c r="BM418" s="197"/>
      <c r="BN418" s="197"/>
      <c r="BO418" s="197"/>
      <c r="BP418" s="197"/>
      <c r="BQ418" s="197"/>
      <c r="BR418" s="197"/>
      <c r="BS418" s="197"/>
      <c r="BT418" s="197"/>
    </row>
    <row r="419">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c r="AA419" s="197"/>
      <c r="AB419" s="197"/>
      <c r="AC419" s="197"/>
      <c r="AD419" s="197"/>
      <c r="AE419" s="197"/>
      <c r="AF419" s="197"/>
      <c r="AG419" s="197"/>
      <c r="AH419" s="197"/>
      <c r="AI419" s="197"/>
      <c r="AJ419" s="197"/>
      <c r="AK419" s="197"/>
      <c r="AL419" s="197"/>
      <c r="AM419" s="197"/>
      <c r="AN419" s="197"/>
      <c r="AO419" s="197"/>
      <c r="AP419" s="197"/>
      <c r="AQ419" s="197"/>
      <c r="AR419" s="197"/>
      <c r="AS419" s="197"/>
      <c r="AT419" s="197"/>
      <c r="AU419" s="197"/>
      <c r="AV419" s="197"/>
      <c r="AW419" s="197"/>
      <c r="AX419" s="197"/>
      <c r="AY419" s="197"/>
      <c r="AZ419" s="197"/>
      <c r="BA419" s="197"/>
      <c r="BB419" s="197"/>
      <c r="BC419" s="197"/>
      <c r="BD419" s="197"/>
      <c r="BE419" s="197"/>
      <c r="BF419" s="197"/>
      <c r="BG419" s="197"/>
      <c r="BH419" s="197"/>
      <c r="BI419" s="197"/>
      <c r="BJ419" s="197"/>
      <c r="BK419" s="197"/>
      <c r="BL419" s="197"/>
      <c r="BM419" s="197"/>
      <c r="BN419" s="197"/>
      <c r="BO419" s="197"/>
      <c r="BP419" s="197"/>
      <c r="BQ419" s="197"/>
      <c r="BR419" s="197"/>
      <c r="BS419" s="197"/>
      <c r="BT419" s="197"/>
    </row>
    <row r="420">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c r="AA420" s="197"/>
      <c r="AB420" s="197"/>
      <c r="AC420" s="197"/>
      <c r="AD420" s="197"/>
      <c r="AE420" s="197"/>
      <c r="AF420" s="197"/>
      <c r="AG420" s="197"/>
      <c r="AH420" s="197"/>
      <c r="AI420" s="197"/>
      <c r="AJ420" s="197"/>
      <c r="AK420" s="197"/>
      <c r="AL420" s="197"/>
      <c r="AM420" s="197"/>
      <c r="AN420" s="197"/>
      <c r="AO420" s="197"/>
      <c r="AP420" s="197"/>
      <c r="AQ420" s="197"/>
      <c r="AR420" s="197"/>
      <c r="AS420" s="197"/>
      <c r="AT420" s="197"/>
      <c r="AU420" s="197"/>
      <c r="AV420" s="197"/>
      <c r="AW420" s="197"/>
      <c r="AX420" s="197"/>
      <c r="AY420" s="197"/>
      <c r="AZ420" s="197"/>
      <c r="BA420" s="197"/>
      <c r="BB420" s="197"/>
      <c r="BC420" s="197"/>
      <c r="BD420" s="197"/>
      <c r="BE420" s="197"/>
      <c r="BF420" s="197"/>
      <c r="BG420" s="197"/>
      <c r="BH420" s="197"/>
      <c r="BI420" s="197"/>
      <c r="BJ420" s="197"/>
      <c r="BK420" s="197"/>
      <c r="BL420" s="197"/>
      <c r="BM420" s="197"/>
      <c r="BN420" s="197"/>
      <c r="BO420" s="197"/>
      <c r="BP420" s="197"/>
      <c r="BQ420" s="197"/>
      <c r="BR420" s="197"/>
      <c r="BS420" s="197"/>
      <c r="BT420" s="197"/>
    </row>
    <row r="421">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c r="AA421" s="197"/>
      <c r="AB421" s="197"/>
      <c r="AC421" s="197"/>
      <c r="AD421" s="197"/>
      <c r="AE421" s="197"/>
      <c r="AF421" s="197"/>
      <c r="AG421" s="197"/>
      <c r="AH421" s="197"/>
      <c r="AI421" s="197"/>
      <c r="AJ421" s="197"/>
      <c r="AK421" s="197"/>
      <c r="AL421" s="197"/>
      <c r="AM421" s="197"/>
      <c r="AN421" s="197"/>
      <c r="AO421" s="197"/>
      <c r="AP421" s="197"/>
      <c r="AQ421" s="197"/>
      <c r="AR421" s="197"/>
      <c r="AS421" s="197"/>
      <c r="AT421" s="197"/>
      <c r="AU421" s="197"/>
      <c r="AV421" s="197"/>
      <c r="AW421" s="197"/>
      <c r="AX421" s="197"/>
      <c r="AY421" s="197"/>
      <c r="AZ421" s="197"/>
      <c r="BA421" s="197"/>
      <c r="BB421" s="197"/>
      <c r="BC421" s="197"/>
      <c r="BD421" s="197"/>
      <c r="BE421" s="197"/>
      <c r="BF421" s="197"/>
      <c r="BG421" s="197"/>
      <c r="BH421" s="197"/>
      <c r="BI421" s="197"/>
      <c r="BJ421" s="197"/>
      <c r="BK421" s="197"/>
      <c r="BL421" s="197"/>
      <c r="BM421" s="197"/>
      <c r="BN421" s="197"/>
      <c r="BO421" s="197"/>
      <c r="BP421" s="197"/>
      <c r="BQ421" s="197"/>
      <c r="BR421" s="197"/>
      <c r="BS421" s="197"/>
      <c r="BT421" s="197"/>
    </row>
    <row r="422">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c r="AA422" s="197"/>
      <c r="AB422" s="197"/>
      <c r="AC422" s="197"/>
      <c r="AD422" s="197"/>
      <c r="AE422" s="197"/>
      <c r="AF422" s="197"/>
      <c r="AG422" s="197"/>
      <c r="AH422" s="197"/>
      <c r="AI422" s="197"/>
      <c r="AJ422" s="197"/>
      <c r="AK422" s="197"/>
      <c r="AL422" s="197"/>
      <c r="AM422" s="197"/>
      <c r="AN422" s="197"/>
      <c r="AO422" s="197"/>
      <c r="AP422" s="197"/>
      <c r="AQ422" s="197"/>
      <c r="AR422" s="197"/>
      <c r="AS422" s="197"/>
      <c r="AT422" s="197"/>
      <c r="AU422" s="197"/>
      <c r="AV422" s="197"/>
      <c r="AW422" s="197"/>
      <c r="AX422" s="197"/>
      <c r="AY422" s="197"/>
      <c r="AZ422" s="197"/>
      <c r="BA422" s="197"/>
      <c r="BB422" s="197"/>
      <c r="BC422" s="197"/>
      <c r="BD422" s="197"/>
      <c r="BE422" s="197"/>
      <c r="BF422" s="197"/>
      <c r="BG422" s="197"/>
      <c r="BH422" s="197"/>
      <c r="BI422" s="197"/>
      <c r="BJ422" s="197"/>
      <c r="BK422" s="197"/>
      <c r="BL422" s="197"/>
      <c r="BM422" s="197"/>
      <c r="BN422" s="197"/>
      <c r="BO422" s="197"/>
      <c r="BP422" s="197"/>
      <c r="BQ422" s="197"/>
      <c r="BR422" s="197"/>
      <c r="BS422" s="197"/>
      <c r="BT422" s="197"/>
    </row>
    <row r="423">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c r="AA423" s="197"/>
      <c r="AB423" s="197"/>
      <c r="AC423" s="197"/>
      <c r="AD423" s="197"/>
      <c r="AE423" s="197"/>
      <c r="AF423" s="197"/>
      <c r="AG423" s="197"/>
      <c r="AH423" s="197"/>
      <c r="AI423" s="197"/>
      <c r="AJ423" s="197"/>
      <c r="AK423" s="197"/>
      <c r="AL423" s="197"/>
      <c r="AM423" s="197"/>
      <c r="AN423" s="197"/>
      <c r="AO423" s="197"/>
      <c r="AP423" s="197"/>
      <c r="AQ423" s="197"/>
      <c r="AR423" s="197"/>
      <c r="AS423" s="197"/>
      <c r="AT423" s="197"/>
      <c r="AU423" s="197"/>
      <c r="AV423" s="197"/>
      <c r="AW423" s="197"/>
      <c r="AX423" s="197"/>
      <c r="AY423" s="197"/>
      <c r="AZ423" s="197"/>
      <c r="BA423" s="197"/>
      <c r="BB423" s="197"/>
      <c r="BC423" s="197"/>
      <c r="BD423" s="197"/>
      <c r="BE423" s="197"/>
      <c r="BF423" s="197"/>
      <c r="BG423" s="197"/>
      <c r="BH423" s="197"/>
      <c r="BI423" s="197"/>
      <c r="BJ423" s="197"/>
      <c r="BK423" s="197"/>
      <c r="BL423" s="197"/>
      <c r="BM423" s="197"/>
      <c r="BN423" s="197"/>
      <c r="BO423" s="197"/>
      <c r="BP423" s="197"/>
      <c r="BQ423" s="197"/>
      <c r="BR423" s="197"/>
      <c r="BS423" s="197"/>
      <c r="BT423" s="197"/>
    </row>
    <row r="424">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c r="AA424" s="197"/>
      <c r="AB424" s="197"/>
      <c r="AC424" s="197"/>
      <c r="AD424" s="197"/>
      <c r="AE424" s="197"/>
      <c r="AF424" s="197"/>
      <c r="AG424" s="197"/>
      <c r="AH424" s="197"/>
      <c r="AI424" s="197"/>
      <c r="AJ424" s="197"/>
      <c r="AK424" s="197"/>
      <c r="AL424" s="197"/>
      <c r="AM424" s="197"/>
      <c r="AN424" s="197"/>
      <c r="AO424" s="197"/>
      <c r="AP424" s="197"/>
      <c r="AQ424" s="197"/>
      <c r="AR424" s="197"/>
      <c r="AS424" s="197"/>
      <c r="AT424" s="197"/>
      <c r="AU424" s="197"/>
      <c r="AV424" s="197"/>
      <c r="AW424" s="197"/>
      <c r="AX424" s="197"/>
      <c r="AY424" s="197"/>
      <c r="AZ424" s="197"/>
      <c r="BA424" s="197"/>
      <c r="BB424" s="197"/>
      <c r="BC424" s="197"/>
      <c r="BD424" s="197"/>
      <c r="BE424" s="197"/>
      <c r="BF424" s="197"/>
      <c r="BG424" s="197"/>
      <c r="BH424" s="197"/>
      <c r="BI424" s="197"/>
      <c r="BJ424" s="197"/>
      <c r="BK424" s="197"/>
      <c r="BL424" s="197"/>
      <c r="BM424" s="197"/>
      <c r="BN424" s="197"/>
      <c r="BO424" s="197"/>
      <c r="BP424" s="197"/>
      <c r="BQ424" s="197"/>
      <c r="BR424" s="197"/>
      <c r="BS424" s="197"/>
      <c r="BT424" s="197"/>
    </row>
    <row r="425">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c r="AA425" s="197"/>
      <c r="AB425" s="197"/>
      <c r="AC425" s="197"/>
      <c r="AD425" s="197"/>
      <c r="AE425" s="197"/>
      <c r="AF425" s="197"/>
      <c r="AG425" s="197"/>
      <c r="AH425" s="197"/>
      <c r="AI425" s="197"/>
      <c r="AJ425" s="197"/>
      <c r="AK425" s="197"/>
      <c r="AL425" s="197"/>
      <c r="AM425" s="197"/>
      <c r="AN425" s="197"/>
      <c r="AO425" s="197"/>
      <c r="AP425" s="197"/>
      <c r="AQ425" s="197"/>
      <c r="AR425" s="197"/>
      <c r="AS425" s="197"/>
      <c r="AT425" s="197"/>
      <c r="AU425" s="197"/>
      <c r="AV425" s="197"/>
      <c r="AW425" s="197"/>
      <c r="AX425" s="197"/>
      <c r="AY425" s="197"/>
      <c r="AZ425" s="197"/>
      <c r="BA425" s="197"/>
      <c r="BB425" s="197"/>
      <c r="BC425" s="197"/>
      <c r="BD425" s="197"/>
      <c r="BE425" s="197"/>
      <c r="BF425" s="197"/>
      <c r="BG425" s="197"/>
      <c r="BH425" s="197"/>
      <c r="BI425" s="197"/>
      <c r="BJ425" s="197"/>
      <c r="BK425" s="197"/>
      <c r="BL425" s="197"/>
      <c r="BM425" s="197"/>
      <c r="BN425" s="197"/>
      <c r="BO425" s="197"/>
      <c r="BP425" s="197"/>
      <c r="BQ425" s="197"/>
      <c r="BR425" s="197"/>
      <c r="BS425" s="197"/>
      <c r="BT425" s="197"/>
    </row>
    <row r="426">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c r="AA426" s="197"/>
      <c r="AB426" s="197"/>
      <c r="AC426" s="197"/>
      <c r="AD426" s="197"/>
      <c r="AE426" s="197"/>
      <c r="AF426" s="197"/>
      <c r="AG426" s="197"/>
      <c r="AH426" s="197"/>
      <c r="AI426" s="197"/>
      <c r="AJ426" s="197"/>
      <c r="AK426" s="197"/>
      <c r="AL426" s="197"/>
      <c r="AM426" s="197"/>
      <c r="AN426" s="197"/>
      <c r="AO426" s="197"/>
      <c r="AP426" s="197"/>
      <c r="AQ426" s="197"/>
      <c r="AR426" s="197"/>
      <c r="AS426" s="197"/>
      <c r="AT426" s="197"/>
      <c r="AU426" s="197"/>
      <c r="AV426" s="197"/>
      <c r="AW426" s="197"/>
      <c r="AX426" s="197"/>
      <c r="AY426" s="197"/>
      <c r="AZ426" s="197"/>
      <c r="BA426" s="197"/>
      <c r="BB426" s="197"/>
      <c r="BC426" s="197"/>
      <c r="BD426" s="197"/>
      <c r="BE426" s="197"/>
      <c r="BF426" s="197"/>
      <c r="BG426" s="197"/>
      <c r="BH426" s="197"/>
      <c r="BI426" s="197"/>
      <c r="BJ426" s="197"/>
      <c r="BK426" s="197"/>
      <c r="BL426" s="197"/>
      <c r="BM426" s="197"/>
      <c r="BN426" s="197"/>
      <c r="BO426" s="197"/>
      <c r="BP426" s="197"/>
      <c r="BQ426" s="197"/>
      <c r="BR426" s="197"/>
      <c r="BS426" s="197"/>
      <c r="BT426" s="197"/>
    </row>
    <row r="427">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c r="AA427" s="197"/>
      <c r="AB427" s="197"/>
      <c r="AC427" s="197"/>
      <c r="AD427" s="197"/>
      <c r="AE427" s="197"/>
      <c r="AF427" s="197"/>
      <c r="AG427" s="197"/>
      <c r="AH427" s="197"/>
      <c r="AI427" s="197"/>
      <c r="AJ427" s="197"/>
      <c r="AK427" s="197"/>
      <c r="AL427" s="197"/>
      <c r="AM427" s="197"/>
      <c r="AN427" s="197"/>
      <c r="AO427" s="197"/>
      <c r="AP427" s="197"/>
      <c r="AQ427" s="197"/>
      <c r="AR427" s="197"/>
      <c r="AS427" s="197"/>
      <c r="AT427" s="197"/>
      <c r="AU427" s="197"/>
      <c r="AV427" s="197"/>
      <c r="AW427" s="197"/>
      <c r="AX427" s="197"/>
      <c r="AY427" s="197"/>
      <c r="AZ427" s="197"/>
      <c r="BA427" s="197"/>
      <c r="BB427" s="197"/>
      <c r="BC427" s="197"/>
      <c r="BD427" s="197"/>
      <c r="BE427" s="197"/>
      <c r="BF427" s="197"/>
      <c r="BG427" s="197"/>
      <c r="BH427" s="197"/>
      <c r="BI427" s="197"/>
      <c r="BJ427" s="197"/>
      <c r="BK427" s="197"/>
      <c r="BL427" s="197"/>
      <c r="BM427" s="197"/>
      <c r="BN427" s="197"/>
      <c r="BO427" s="197"/>
      <c r="BP427" s="197"/>
      <c r="BQ427" s="197"/>
      <c r="BR427" s="197"/>
      <c r="BS427" s="197"/>
      <c r="BT427" s="197"/>
    </row>
    <row r="428">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c r="AA428" s="197"/>
      <c r="AB428" s="197"/>
      <c r="AC428" s="197"/>
      <c r="AD428" s="197"/>
      <c r="AE428" s="197"/>
      <c r="AF428" s="197"/>
      <c r="AG428" s="197"/>
      <c r="AH428" s="197"/>
      <c r="AI428" s="197"/>
      <c r="AJ428" s="197"/>
      <c r="AK428" s="197"/>
      <c r="AL428" s="197"/>
      <c r="AM428" s="197"/>
      <c r="AN428" s="197"/>
      <c r="AO428" s="197"/>
      <c r="AP428" s="197"/>
      <c r="AQ428" s="197"/>
      <c r="AR428" s="197"/>
      <c r="AS428" s="197"/>
      <c r="AT428" s="197"/>
      <c r="AU428" s="197"/>
      <c r="AV428" s="197"/>
      <c r="AW428" s="197"/>
      <c r="AX428" s="197"/>
      <c r="AY428" s="197"/>
      <c r="AZ428" s="197"/>
      <c r="BA428" s="197"/>
      <c r="BB428" s="197"/>
      <c r="BC428" s="197"/>
      <c r="BD428" s="197"/>
      <c r="BE428" s="197"/>
      <c r="BF428" s="197"/>
      <c r="BG428" s="197"/>
      <c r="BH428" s="197"/>
      <c r="BI428" s="197"/>
      <c r="BJ428" s="197"/>
      <c r="BK428" s="197"/>
      <c r="BL428" s="197"/>
      <c r="BM428" s="197"/>
      <c r="BN428" s="197"/>
      <c r="BO428" s="197"/>
      <c r="BP428" s="197"/>
      <c r="BQ428" s="197"/>
      <c r="BR428" s="197"/>
      <c r="BS428" s="197"/>
      <c r="BT428" s="197"/>
    </row>
    <row r="429">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c r="AA429" s="197"/>
      <c r="AB429" s="197"/>
      <c r="AC429" s="197"/>
      <c r="AD429" s="197"/>
      <c r="AE429" s="197"/>
      <c r="AF429" s="197"/>
      <c r="AG429" s="197"/>
      <c r="AH429" s="197"/>
      <c r="AI429" s="197"/>
      <c r="AJ429" s="197"/>
      <c r="AK429" s="197"/>
      <c r="AL429" s="197"/>
      <c r="AM429" s="197"/>
      <c r="AN429" s="197"/>
      <c r="AO429" s="197"/>
      <c r="AP429" s="197"/>
      <c r="AQ429" s="197"/>
      <c r="AR429" s="197"/>
      <c r="AS429" s="197"/>
      <c r="AT429" s="197"/>
      <c r="AU429" s="197"/>
      <c r="AV429" s="197"/>
      <c r="AW429" s="197"/>
      <c r="AX429" s="197"/>
      <c r="AY429" s="197"/>
      <c r="AZ429" s="197"/>
      <c r="BA429" s="197"/>
      <c r="BB429" s="197"/>
      <c r="BC429" s="197"/>
      <c r="BD429" s="197"/>
      <c r="BE429" s="197"/>
      <c r="BF429" s="197"/>
      <c r="BG429" s="197"/>
      <c r="BH429" s="197"/>
      <c r="BI429" s="197"/>
      <c r="BJ429" s="197"/>
      <c r="BK429" s="197"/>
      <c r="BL429" s="197"/>
      <c r="BM429" s="197"/>
      <c r="BN429" s="197"/>
      <c r="BO429" s="197"/>
      <c r="BP429" s="197"/>
      <c r="BQ429" s="197"/>
      <c r="BR429" s="197"/>
      <c r="BS429" s="197"/>
      <c r="BT429" s="197"/>
    </row>
    <row r="430">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c r="AA430" s="197"/>
      <c r="AB430" s="197"/>
      <c r="AC430" s="197"/>
      <c r="AD430" s="197"/>
      <c r="AE430" s="197"/>
      <c r="AF430" s="197"/>
      <c r="AG430" s="197"/>
      <c r="AH430" s="197"/>
      <c r="AI430" s="197"/>
      <c r="AJ430" s="197"/>
      <c r="AK430" s="197"/>
      <c r="AL430" s="197"/>
      <c r="AM430" s="197"/>
      <c r="AN430" s="197"/>
      <c r="AO430" s="197"/>
      <c r="AP430" s="197"/>
      <c r="AQ430" s="197"/>
      <c r="AR430" s="197"/>
      <c r="AS430" s="197"/>
      <c r="AT430" s="197"/>
      <c r="AU430" s="197"/>
      <c r="AV430" s="197"/>
      <c r="AW430" s="197"/>
      <c r="AX430" s="197"/>
      <c r="AY430" s="197"/>
      <c r="AZ430" s="197"/>
      <c r="BA430" s="197"/>
      <c r="BB430" s="197"/>
      <c r="BC430" s="197"/>
      <c r="BD430" s="197"/>
      <c r="BE430" s="197"/>
      <c r="BF430" s="197"/>
      <c r="BG430" s="197"/>
      <c r="BH430" s="197"/>
      <c r="BI430" s="197"/>
      <c r="BJ430" s="197"/>
      <c r="BK430" s="197"/>
      <c r="BL430" s="197"/>
      <c r="BM430" s="197"/>
      <c r="BN430" s="197"/>
      <c r="BO430" s="197"/>
      <c r="BP430" s="197"/>
      <c r="BQ430" s="197"/>
      <c r="BR430" s="197"/>
      <c r="BS430" s="197"/>
      <c r="BT430" s="197"/>
    </row>
    <row r="431">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c r="AA431" s="197"/>
      <c r="AB431" s="197"/>
      <c r="AC431" s="197"/>
      <c r="AD431" s="197"/>
      <c r="AE431" s="197"/>
      <c r="AF431" s="197"/>
      <c r="AG431" s="197"/>
      <c r="AH431" s="197"/>
      <c r="AI431" s="197"/>
      <c r="AJ431" s="197"/>
      <c r="AK431" s="197"/>
      <c r="AL431" s="197"/>
      <c r="AM431" s="197"/>
      <c r="AN431" s="197"/>
      <c r="AO431" s="197"/>
      <c r="AP431" s="197"/>
      <c r="AQ431" s="197"/>
      <c r="AR431" s="197"/>
      <c r="AS431" s="197"/>
      <c r="AT431" s="197"/>
      <c r="AU431" s="197"/>
      <c r="AV431" s="197"/>
      <c r="AW431" s="197"/>
      <c r="AX431" s="197"/>
      <c r="AY431" s="197"/>
      <c r="AZ431" s="197"/>
      <c r="BA431" s="197"/>
      <c r="BB431" s="197"/>
      <c r="BC431" s="197"/>
      <c r="BD431" s="197"/>
      <c r="BE431" s="197"/>
      <c r="BF431" s="197"/>
      <c r="BG431" s="197"/>
      <c r="BH431" s="197"/>
      <c r="BI431" s="197"/>
      <c r="BJ431" s="197"/>
      <c r="BK431" s="197"/>
      <c r="BL431" s="197"/>
      <c r="BM431" s="197"/>
      <c r="BN431" s="197"/>
      <c r="BO431" s="197"/>
      <c r="BP431" s="197"/>
      <c r="BQ431" s="197"/>
      <c r="BR431" s="197"/>
      <c r="BS431" s="197"/>
      <c r="BT431" s="197"/>
    </row>
    <row r="432">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c r="AA432" s="197"/>
      <c r="AB432" s="197"/>
      <c r="AC432" s="197"/>
      <c r="AD432" s="197"/>
      <c r="AE432" s="197"/>
      <c r="AF432" s="197"/>
      <c r="AG432" s="197"/>
      <c r="AH432" s="197"/>
      <c r="AI432" s="197"/>
      <c r="AJ432" s="197"/>
      <c r="AK432" s="197"/>
      <c r="AL432" s="197"/>
      <c r="AM432" s="197"/>
      <c r="AN432" s="197"/>
      <c r="AO432" s="197"/>
      <c r="AP432" s="197"/>
      <c r="AQ432" s="197"/>
      <c r="AR432" s="197"/>
      <c r="AS432" s="197"/>
      <c r="AT432" s="197"/>
      <c r="AU432" s="197"/>
      <c r="AV432" s="197"/>
      <c r="AW432" s="197"/>
      <c r="AX432" s="197"/>
      <c r="AY432" s="197"/>
      <c r="AZ432" s="197"/>
      <c r="BA432" s="197"/>
      <c r="BB432" s="197"/>
      <c r="BC432" s="197"/>
      <c r="BD432" s="197"/>
      <c r="BE432" s="197"/>
      <c r="BF432" s="197"/>
      <c r="BG432" s="197"/>
      <c r="BH432" s="197"/>
      <c r="BI432" s="197"/>
      <c r="BJ432" s="197"/>
      <c r="BK432" s="197"/>
      <c r="BL432" s="197"/>
      <c r="BM432" s="197"/>
      <c r="BN432" s="197"/>
      <c r="BO432" s="197"/>
      <c r="BP432" s="197"/>
      <c r="BQ432" s="197"/>
      <c r="BR432" s="197"/>
      <c r="BS432" s="197"/>
      <c r="BT432" s="197"/>
    </row>
    <row r="433">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c r="AA433" s="197"/>
      <c r="AB433" s="197"/>
      <c r="AC433" s="197"/>
      <c r="AD433" s="197"/>
      <c r="AE433" s="197"/>
      <c r="AF433" s="197"/>
      <c r="AG433" s="197"/>
      <c r="AH433" s="197"/>
      <c r="AI433" s="197"/>
      <c r="AJ433" s="197"/>
      <c r="AK433" s="197"/>
      <c r="AL433" s="197"/>
      <c r="AM433" s="197"/>
      <c r="AN433" s="197"/>
      <c r="AO433" s="197"/>
      <c r="AP433" s="197"/>
      <c r="AQ433" s="197"/>
      <c r="AR433" s="197"/>
      <c r="AS433" s="197"/>
      <c r="AT433" s="197"/>
      <c r="AU433" s="197"/>
      <c r="AV433" s="197"/>
      <c r="AW433" s="197"/>
      <c r="AX433" s="197"/>
      <c r="AY433" s="197"/>
      <c r="AZ433" s="197"/>
      <c r="BA433" s="197"/>
      <c r="BB433" s="197"/>
      <c r="BC433" s="197"/>
      <c r="BD433" s="197"/>
      <c r="BE433" s="197"/>
      <c r="BF433" s="197"/>
      <c r="BG433" s="197"/>
      <c r="BH433" s="197"/>
      <c r="BI433" s="197"/>
      <c r="BJ433" s="197"/>
      <c r="BK433" s="197"/>
      <c r="BL433" s="197"/>
      <c r="BM433" s="197"/>
      <c r="BN433" s="197"/>
      <c r="BO433" s="197"/>
      <c r="BP433" s="197"/>
      <c r="BQ433" s="197"/>
      <c r="BR433" s="197"/>
      <c r="BS433" s="197"/>
      <c r="BT433" s="197"/>
    </row>
    <row r="434">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c r="AA434" s="197"/>
      <c r="AB434" s="197"/>
      <c r="AC434" s="197"/>
      <c r="AD434" s="197"/>
      <c r="AE434" s="197"/>
      <c r="AF434" s="197"/>
      <c r="AG434" s="197"/>
      <c r="AH434" s="197"/>
      <c r="AI434" s="197"/>
      <c r="AJ434" s="197"/>
      <c r="AK434" s="197"/>
      <c r="AL434" s="197"/>
      <c r="AM434" s="197"/>
      <c r="AN434" s="197"/>
      <c r="AO434" s="197"/>
      <c r="AP434" s="197"/>
      <c r="AQ434" s="197"/>
      <c r="AR434" s="197"/>
      <c r="AS434" s="197"/>
      <c r="AT434" s="197"/>
      <c r="AU434" s="197"/>
      <c r="AV434" s="197"/>
      <c r="AW434" s="197"/>
      <c r="AX434" s="197"/>
      <c r="AY434" s="197"/>
      <c r="AZ434" s="197"/>
      <c r="BA434" s="197"/>
      <c r="BB434" s="197"/>
      <c r="BC434" s="197"/>
      <c r="BD434" s="197"/>
      <c r="BE434" s="197"/>
      <c r="BF434" s="197"/>
      <c r="BG434" s="197"/>
      <c r="BH434" s="197"/>
      <c r="BI434" s="197"/>
      <c r="BJ434" s="197"/>
      <c r="BK434" s="197"/>
      <c r="BL434" s="197"/>
      <c r="BM434" s="197"/>
      <c r="BN434" s="197"/>
      <c r="BO434" s="197"/>
      <c r="BP434" s="197"/>
      <c r="BQ434" s="197"/>
      <c r="BR434" s="197"/>
      <c r="BS434" s="197"/>
      <c r="BT434" s="197"/>
    </row>
    <row r="435">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c r="AA435" s="197"/>
      <c r="AB435" s="197"/>
      <c r="AC435" s="197"/>
      <c r="AD435" s="197"/>
      <c r="AE435" s="197"/>
      <c r="AF435" s="197"/>
      <c r="AG435" s="197"/>
      <c r="AH435" s="197"/>
      <c r="AI435" s="197"/>
      <c r="AJ435" s="197"/>
      <c r="AK435" s="197"/>
      <c r="AL435" s="197"/>
      <c r="AM435" s="197"/>
      <c r="AN435" s="197"/>
      <c r="AO435" s="197"/>
      <c r="AP435" s="197"/>
      <c r="AQ435" s="197"/>
      <c r="AR435" s="197"/>
      <c r="AS435" s="197"/>
      <c r="AT435" s="197"/>
      <c r="AU435" s="197"/>
      <c r="AV435" s="197"/>
      <c r="AW435" s="197"/>
      <c r="AX435" s="197"/>
      <c r="AY435" s="197"/>
      <c r="AZ435" s="197"/>
      <c r="BA435" s="197"/>
      <c r="BB435" s="197"/>
      <c r="BC435" s="197"/>
      <c r="BD435" s="197"/>
      <c r="BE435" s="197"/>
      <c r="BF435" s="197"/>
      <c r="BG435" s="197"/>
      <c r="BH435" s="197"/>
      <c r="BI435" s="197"/>
      <c r="BJ435" s="197"/>
      <c r="BK435" s="197"/>
      <c r="BL435" s="197"/>
      <c r="BM435" s="197"/>
      <c r="BN435" s="197"/>
      <c r="BO435" s="197"/>
      <c r="BP435" s="197"/>
      <c r="BQ435" s="197"/>
      <c r="BR435" s="197"/>
      <c r="BS435" s="197"/>
      <c r="BT435" s="197"/>
    </row>
    <row r="436">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c r="AA436" s="197"/>
      <c r="AB436" s="197"/>
      <c r="AC436" s="197"/>
      <c r="AD436" s="197"/>
      <c r="AE436" s="197"/>
      <c r="AF436" s="197"/>
      <c r="AG436" s="197"/>
      <c r="AH436" s="197"/>
      <c r="AI436" s="197"/>
      <c r="AJ436" s="197"/>
      <c r="AK436" s="197"/>
      <c r="AL436" s="197"/>
      <c r="AM436" s="197"/>
      <c r="AN436" s="197"/>
      <c r="AO436" s="197"/>
      <c r="AP436" s="197"/>
      <c r="AQ436" s="197"/>
      <c r="AR436" s="197"/>
      <c r="AS436" s="197"/>
      <c r="AT436" s="197"/>
      <c r="AU436" s="197"/>
      <c r="AV436" s="197"/>
      <c r="AW436" s="197"/>
      <c r="AX436" s="197"/>
      <c r="AY436" s="197"/>
      <c r="AZ436" s="197"/>
      <c r="BA436" s="197"/>
      <c r="BB436" s="197"/>
      <c r="BC436" s="197"/>
      <c r="BD436" s="197"/>
      <c r="BE436" s="197"/>
      <c r="BF436" s="197"/>
      <c r="BG436" s="197"/>
      <c r="BH436" s="197"/>
      <c r="BI436" s="197"/>
      <c r="BJ436" s="197"/>
      <c r="BK436" s="197"/>
      <c r="BL436" s="197"/>
      <c r="BM436" s="197"/>
      <c r="BN436" s="197"/>
      <c r="BO436" s="197"/>
      <c r="BP436" s="197"/>
      <c r="BQ436" s="197"/>
      <c r="BR436" s="197"/>
      <c r="BS436" s="197"/>
      <c r="BT436" s="197"/>
    </row>
    <row r="437">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c r="AA437" s="197"/>
      <c r="AB437" s="197"/>
      <c r="AC437" s="197"/>
      <c r="AD437" s="197"/>
      <c r="AE437" s="197"/>
      <c r="AF437" s="197"/>
      <c r="AG437" s="197"/>
      <c r="AH437" s="197"/>
      <c r="AI437" s="197"/>
      <c r="AJ437" s="197"/>
      <c r="AK437" s="197"/>
      <c r="AL437" s="197"/>
      <c r="AM437" s="197"/>
      <c r="AN437" s="197"/>
      <c r="AO437" s="197"/>
      <c r="AP437" s="197"/>
      <c r="AQ437" s="197"/>
      <c r="AR437" s="197"/>
      <c r="AS437" s="197"/>
      <c r="AT437" s="197"/>
      <c r="AU437" s="197"/>
      <c r="AV437" s="197"/>
      <c r="AW437" s="197"/>
      <c r="AX437" s="197"/>
      <c r="AY437" s="197"/>
      <c r="AZ437" s="197"/>
      <c r="BA437" s="197"/>
      <c r="BB437" s="197"/>
      <c r="BC437" s="197"/>
      <c r="BD437" s="197"/>
      <c r="BE437" s="197"/>
      <c r="BF437" s="197"/>
      <c r="BG437" s="197"/>
      <c r="BH437" s="197"/>
      <c r="BI437" s="197"/>
      <c r="BJ437" s="197"/>
      <c r="BK437" s="197"/>
      <c r="BL437" s="197"/>
      <c r="BM437" s="197"/>
      <c r="BN437" s="197"/>
      <c r="BO437" s="197"/>
      <c r="BP437" s="197"/>
      <c r="BQ437" s="197"/>
      <c r="BR437" s="197"/>
      <c r="BS437" s="197"/>
      <c r="BT437" s="197"/>
    </row>
    <row r="438">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c r="AA438" s="197"/>
      <c r="AB438" s="197"/>
      <c r="AC438" s="197"/>
      <c r="AD438" s="197"/>
      <c r="AE438" s="197"/>
      <c r="AF438" s="197"/>
      <c r="AG438" s="197"/>
      <c r="AH438" s="197"/>
      <c r="AI438" s="197"/>
      <c r="AJ438" s="197"/>
      <c r="AK438" s="197"/>
      <c r="AL438" s="197"/>
      <c r="AM438" s="197"/>
      <c r="AN438" s="197"/>
      <c r="AO438" s="197"/>
      <c r="AP438" s="197"/>
      <c r="AQ438" s="197"/>
      <c r="AR438" s="197"/>
      <c r="AS438" s="197"/>
      <c r="AT438" s="197"/>
      <c r="AU438" s="197"/>
      <c r="AV438" s="197"/>
      <c r="AW438" s="197"/>
      <c r="AX438" s="197"/>
      <c r="AY438" s="197"/>
      <c r="AZ438" s="197"/>
      <c r="BA438" s="197"/>
      <c r="BB438" s="197"/>
      <c r="BC438" s="197"/>
      <c r="BD438" s="197"/>
      <c r="BE438" s="197"/>
      <c r="BF438" s="197"/>
      <c r="BG438" s="197"/>
      <c r="BH438" s="197"/>
      <c r="BI438" s="197"/>
      <c r="BJ438" s="197"/>
      <c r="BK438" s="197"/>
      <c r="BL438" s="197"/>
      <c r="BM438" s="197"/>
      <c r="BN438" s="197"/>
      <c r="BO438" s="197"/>
      <c r="BP438" s="197"/>
      <c r="BQ438" s="197"/>
      <c r="BR438" s="197"/>
      <c r="BS438" s="197"/>
      <c r="BT438" s="197"/>
    </row>
    <row r="439">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c r="AA439" s="197"/>
      <c r="AB439" s="197"/>
      <c r="AC439" s="197"/>
      <c r="AD439" s="197"/>
      <c r="AE439" s="197"/>
      <c r="AF439" s="197"/>
      <c r="AG439" s="197"/>
      <c r="AH439" s="197"/>
      <c r="AI439" s="197"/>
      <c r="AJ439" s="197"/>
      <c r="AK439" s="197"/>
      <c r="AL439" s="197"/>
      <c r="AM439" s="197"/>
      <c r="AN439" s="197"/>
      <c r="AO439" s="197"/>
      <c r="AP439" s="197"/>
      <c r="AQ439" s="197"/>
      <c r="AR439" s="197"/>
      <c r="AS439" s="197"/>
      <c r="AT439" s="197"/>
      <c r="AU439" s="197"/>
      <c r="AV439" s="197"/>
      <c r="AW439" s="197"/>
      <c r="AX439" s="197"/>
      <c r="AY439" s="197"/>
      <c r="AZ439" s="197"/>
      <c r="BA439" s="197"/>
      <c r="BB439" s="197"/>
      <c r="BC439" s="197"/>
      <c r="BD439" s="197"/>
      <c r="BE439" s="197"/>
      <c r="BF439" s="197"/>
      <c r="BG439" s="197"/>
      <c r="BH439" s="197"/>
      <c r="BI439" s="197"/>
      <c r="BJ439" s="197"/>
      <c r="BK439" s="197"/>
      <c r="BL439" s="197"/>
      <c r="BM439" s="197"/>
      <c r="BN439" s="197"/>
      <c r="BO439" s="197"/>
      <c r="BP439" s="197"/>
      <c r="BQ439" s="197"/>
      <c r="BR439" s="197"/>
      <c r="BS439" s="197"/>
      <c r="BT439" s="197"/>
    </row>
    <row r="440">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c r="AA440" s="197"/>
      <c r="AB440" s="197"/>
      <c r="AC440" s="197"/>
      <c r="AD440" s="197"/>
      <c r="AE440" s="197"/>
      <c r="AF440" s="197"/>
      <c r="AG440" s="197"/>
      <c r="AH440" s="197"/>
      <c r="AI440" s="197"/>
      <c r="AJ440" s="197"/>
      <c r="AK440" s="197"/>
      <c r="AL440" s="197"/>
      <c r="AM440" s="197"/>
      <c r="AN440" s="197"/>
      <c r="AO440" s="197"/>
      <c r="AP440" s="197"/>
      <c r="AQ440" s="197"/>
      <c r="AR440" s="197"/>
      <c r="AS440" s="197"/>
      <c r="AT440" s="197"/>
      <c r="AU440" s="197"/>
      <c r="AV440" s="197"/>
      <c r="AW440" s="197"/>
      <c r="AX440" s="197"/>
      <c r="AY440" s="197"/>
      <c r="AZ440" s="197"/>
      <c r="BA440" s="197"/>
      <c r="BB440" s="197"/>
      <c r="BC440" s="197"/>
      <c r="BD440" s="197"/>
      <c r="BE440" s="197"/>
      <c r="BF440" s="197"/>
      <c r="BG440" s="197"/>
      <c r="BH440" s="197"/>
      <c r="BI440" s="197"/>
      <c r="BJ440" s="197"/>
      <c r="BK440" s="197"/>
      <c r="BL440" s="197"/>
      <c r="BM440" s="197"/>
      <c r="BN440" s="197"/>
      <c r="BO440" s="197"/>
      <c r="BP440" s="197"/>
      <c r="BQ440" s="197"/>
      <c r="BR440" s="197"/>
      <c r="BS440" s="197"/>
      <c r="BT440" s="197"/>
    </row>
    <row r="441">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c r="AA441" s="197"/>
      <c r="AB441" s="197"/>
      <c r="AC441" s="197"/>
      <c r="AD441" s="197"/>
      <c r="AE441" s="197"/>
      <c r="AF441" s="197"/>
      <c r="AG441" s="197"/>
      <c r="AH441" s="197"/>
      <c r="AI441" s="197"/>
      <c r="AJ441" s="197"/>
      <c r="AK441" s="197"/>
      <c r="AL441" s="197"/>
      <c r="AM441" s="197"/>
      <c r="AN441" s="197"/>
      <c r="AO441" s="197"/>
      <c r="AP441" s="197"/>
      <c r="AQ441" s="197"/>
      <c r="AR441" s="197"/>
      <c r="AS441" s="197"/>
      <c r="AT441" s="197"/>
      <c r="AU441" s="197"/>
      <c r="AV441" s="197"/>
      <c r="AW441" s="197"/>
      <c r="AX441" s="197"/>
      <c r="AY441" s="197"/>
      <c r="AZ441" s="197"/>
      <c r="BA441" s="197"/>
      <c r="BB441" s="197"/>
      <c r="BC441" s="197"/>
      <c r="BD441" s="197"/>
      <c r="BE441" s="197"/>
      <c r="BF441" s="197"/>
      <c r="BG441" s="197"/>
      <c r="BH441" s="197"/>
      <c r="BI441" s="197"/>
      <c r="BJ441" s="197"/>
      <c r="BK441" s="197"/>
      <c r="BL441" s="197"/>
      <c r="BM441" s="197"/>
      <c r="BN441" s="197"/>
      <c r="BO441" s="197"/>
      <c r="BP441" s="197"/>
      <c r="BQ441" s="197"/>
      <c r="BR441" s="197"/>
      <c r="BS441" s="197"/>
      <c r="BT441" s="197"/>
    </row>
    <row r="442">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c r="AA442" s="197"/>
      <c r="AB442" s="197"/>
      <c r="AC442" s="197"/>
      <c r="AD442" s="197"/>
      <c r="AE442" s="197"/>
      <c r="AF442" s="197"/>
      <c r="AG442" s="197"/>
      <c r="AH442" s="197"/>
      <c r="AI442" s="197"/>
      <c r="AJ442" s="197"/>
      <c r="AK442" s="197"/>
      <c r="AL442" s="197"/>
      <c r="AM442" s="197"/>
      <c r="AN442" s="197"/>
      <c r="AO442" s="197"/>
      <c r="AP442" s="197"/>
      <c r="AQ442" s="197"/>
      <c r="AR442" s="197"/>
      <c r="AS442" s="197"/>
      <c r="AT442" s="197"/>
      <c r="AU442" s="197"/>
      <c r="AV442" s="197"/>
      <c r="AW442" s="197"/>
      <c r="AX442" s="197"/>
      <c r="AY442" s="197"/>
      <c r="AZ442" s="197"/>
      <c r="BA442" s="197"/>
      <c r="BB442" s="197"/>
      <c r="BC442" s="197"/>
      <c r="BD442" s="197"/>
      <c r="BE442" s="197"/>
      <c r="BF442" s="197"/>
      <c r="BG442" s="197"/>
      <c r="BH442" s="197"/>
      <c r="BI442" s="197"/>
      <c r="BJ442" s="197"/>
      <c r="BK442" s="197"/>
      <c r="BL442" s="197"/>
      <c r="BM442" s="197"/>
      <c r="BN442" s="197"/>
      <c r="BO442" s="197"/>
      <c r="BP442" s="197"/>
      <c r="BQ442" s="197"/>
      <c r="BR442" s="197"/>
      <c r="BS442" s="197"/>
      <c r="BT442" s="197"/>
    </row>
    <row r="443">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c r="AA443" s="197"/>
      <c r="AB443" s="197"/>
      <c r="AC443" s="197"/>
      <c r="AD443" s="197"/>
      <c r="AE443" s="197"/>
      <c r="AF443" s="197"/>
      <c r="AG443" s="197"/>
      <c r="AH443" s="197"/>
      <c r="AI443" s="197"/>
      <c r="AJ443" s="197"/>
      <c r="AK443" s="197"/>
      <c r="AL443" s="197"/>
      <c r="AM443" s="197"/>
      <c r="AN443" s="197"/>
      <c r="AO443" s="197"/>
      <c r="AP443" s="197"/>
      <c r="AQ443" s="197"/>
      <c r="AR443" s="197"/>
      <c r="AS443" s="197"/>
      <c r="AT443" s="197"/>
      <c r="AU443" s="197"/>
      <c r="AV443" s="197"/>
      <c r="AW443" s="197"/>
      <c r="AX443" s="197"/>
      <c r="AY443" s="197"/>
      <c r="AZ443" s="197"/>
      <c r="BA443" s="197"/>
      <c r="BB443" s="197"/>
      <c r="BC443" s="197"/>
      <c r="BD443" s="197"/>
      <c r="BE443" s="197"/>
      <c r="BF443" s="197"/>
      <c r="BG443" s="197"/>
      <c r="BH443" s="197"/>
      <c r="BI443" s="197"/>
      <c r="BJ443" s="197"/>
      <c r="BK443" s="197"/>
      <c r="BL443" s="197"/>
      <c r="BM443" s="197"/>
      <c r="BN443" s="197"/>
      <c r="BO443" s="197"/>
      <c r="BP443" s="197"/>
      <c r="BQ443" s="197"/>
      <c r="BR443" s="197"/>
      <c r="BS443" s="197"/>
      <c r="BT443" s="197"/>
    </row>
    <row r="444">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c r="AA444" s="197"/>
      <c r="AB444" s="197"/>
      <c r="AC444" s="197"/>
      <c r="AD444" s="197"/>
      <c r="AE444" s="197"/>
      <c r="AF444" s="197"/>
      <c r="AG444" s="197"/>
      <c r="AH444" s="197"/>
      <c r="AI444" s="197"/>
      <c r="AJ444" s="197"/>
      <c r="AK444" s="197"/>
      <c r="AL444" s="197"/>
      <c r="AM444" s="197"/>
      <c r="AN444" s="197"/>
      <c r="AO444" s="197"/>
      <c r="AP444" s="197"/>
      <c r="AQ444" s="197"/>
      <c r="AR444" s="197"/>
      <c r="AS444" s="197"/>
      <c r="AT444" s="197"/>
      <c r="AU444" s="197"/>
      <c r="AV444" s="197"/>
      <c r="AW444" s="197"/>
      <c r="AX444" s="197"/>
      <c r="AY444" s="197"/>
      <c r="AZ444" s="197"/>
      <c r="BA444" s="197"/>
      <c r="BB444" s="197"/>
      <c r="BC444" s="197"/>
      <c r="BD444" s="197"/>
      <c r="BE444" s="197"/>
      <c r="BF444" s="197"/>
      <c r="BG444" s="197"/>
      <c r="BH444" s="197"/>
      <c r="BI444" s="197"/>
      <c r="BJ444" s="197"/>
      <c r="BK444" s="197"/>
      <c r="BL444" s="197"/>
      <c r="BM444" s="197"/>
      <c r="BN444" s="197"/>
      <c r="BO444" s="197"/>
      <c r="BP444" s="197"/>
      <c r="BQ444" s="197"/>
      <c r="BR444" s="197"/>
      <c r="BS444" s="197"/>
      <c r="BT444" s="197"/>
    </row>
    <row r="445">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c r="AA445" s="197"/>
      <c r="AB445" s="197"/>
      <c r="AC445" s="197"/>
      <c r="AD445" s="197"/>
      <c r="AE445" s="197"/>
      <c r="AF445" s="197"/>
      <c r="AG445" s="197"/>
      <c r="AH445" s="197"/>
      <c r="AI445" s="197"/>
      <c r="AJ445" s="197"/>
      <c r="AK445" s="197"/>
      <c r="AL445" s="197"/>
      <c r="AM445" s="197"/>
      <c r="AN445" s="197"/>
      <c r="AO445" s="197"/>
      <c r="AP445" s="197"/>
      <c r="AQ445" s="197"/>
      <c r="AR445" s="197"/>
      <c r="AS445" s="197"/>
      <c r="AT445" s="197"/>
      <c r="AU445" s="197"/>
      <c r="AV445" s="197"/>
      <c r="AW445" s="197"/>
      <c r="AX445" s="197"/>
      <c r="AY445" s="197"/>
      <c r="AZ445" s="197"/>
      <c r="BA445" s="197"/>
      <c r="BB445" s="197"/>
      <c r="BC445" s="197"/>
      <c r="BD445" s="197"/>
      <c r="BE445" s="197"/>
      <c r="BF445" s="197"/>
      <c r="BG445" s="197"/>
      <c r="BH445" s="197"/>
      <c r="BI445" s="197"/>
      <c r="BJ445" s="197"/>
      <c r="BK445" s="197"/>
      <c r="BL445" s="197"/>
      <c r="BM445" s="197"/>
      <c r="BN445" s="197"/>
      <c r="BO445" s="197"/>
      <c r="BP445" s="197"/>
      <c r="BQ445" s="197"/>
      <c r="BR445" s="197"/>
      <c r="BS445" s="197"/>
      <c r="BT445" s="197"/>
    </row>
    <row r="446">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c r="AA446" s="197"/>
      <c r="AB446" s="197"/>
      <c r="AC446" s="197"/>
      <c r="AD446" s="197"/>
      <c r="AE446" s="197"/>
      <c r="AF446" s="197"/>
      <c r="AG446" s="197"/>
      <c r="AH446" s="197"/>
      <c r="AI446" s="197"/>
      <c r="AJ446" s="197"/>
      <c r="AK446" s="197"/>
      <c r="AL446" s="197"/>
      <c r="AM446" s="197"/>
      <c r="AN446" s="197"/>
      <c r="AO446" s="197"/>
      <c r="AP446" s="197"/>
      <c r="AQ446" s="197"/>
      <c r="AR446" s="197"/>
      <c r="AS446" s="197"/>
      <c r="AT446" s="197"/>
      <c r="AU446" s="197"/>
      <c r="AV446" s="197"/>
      <c r="AW446" s="197"/>
      <c r="AX446" s="197"/>
      <c r="AY446" s="197"/>
      <c r="AZ446" s="197"/>
      <c r="BA446" s="197"/>
      <c r="BB446" s="197"/>
      <c r="BC446" s="197"/>
      <c r="BD446" s="197"/>
      <c r="BE446" s="197"/>
      <c r="BF446" s="197"/>
      <c r="BG446" s="197"/>
      <c r="BH446" s="197"/>
      <c r="BI446" s="197"/>
      <c r="BJ446" s="197"/>
      <c r="BK446" s="197"/>
      <c r="BL446" s="197"/>
      <c r="BM446" s="197"/>
      <c r="BN446" s="197"/>
      <c r="BO446" s="197"/>
      <c r="BP446" s="197"/>
      <c r="BQ446" s="197"/>
      <c r="BR446" s="197"/>
      <c r="BS446" s="197"/>
      <c r="BT446" s="197"/>
    </row>
    <row r="447">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c r="AA447" s="197"/>
      <c r="AB447" s="197"/>
      <c r="AC447" s="197"/>
      <c r="AD447" s="197"/>
      <c r="AE447" s="197"/>
      <c r="AF447" s="197"/>
      <c r="AG447" s="197"/>
      <c r="AH447" s="197"/>
      <c r="AI447" s="197"/>
      <c r="AJ447" s="197"/>
      <c r="AK447" s="197"/>
      <c r="AL447" s="197"/>
      <c r="AM447" s="197"/>
      <c r="AN447" s="197"/>
      <c r="AO447" s="197"/>
      <c r="AP447" s="197"/>
      <c r="AQ447" s="197"/>
      <c r="AR447" s="197"/>
      <c r="AS447" s="197"/>
      <c r="AT447" s="197"/>
      <c r="AU447" s="197"/>
      <c r="AV447" s="197"/>
      <c r="AW447" s="197"/>
      <c r="AX447" s="197"/>
      <c r="AY447" s="197"/>
      <c r="AZ447" s="197"/>
      <c r="BA447" s="197"/>
      <c r="BB447" s="197"/>
      <c r="BC447" s="197"/>
      <c r="BD447" s="197"/>
      <c r="BE447" s="197"/>
      <c r="BF447" s="197"/>
      <c r="BG447" s="197"/>
      <c r="BH447" s="197"/>
      <c r="BI447" s="197"/>
      <c r="BJ447" s="197"/>
      <c r="BK447" s="197"/>
      <c r="BL447" s="197"/>
      <c r="BM447" s="197"/>
      <c r="BN447" s="197"/>
      <c r="BO447" s="197"/>
      <c r="BP447" s="197"/>
      <c r="BQ447" s="197"/>
      <c r="BR447" s="197"/>
      <c r="BS447" s="197"/>
      <c r="BT447" s="197"/>
    </row>
    <row r="448">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c r="AA448" s="197"/>
      <c r="AB448" s="197"/>
      <c r="AC448" s="197"/>
      <c r="AD448" s="197"/>
      <c r="AE448" s="197"/>
      <c r="AF448" s="197"/>
      <c r="AG448" s="197"/>
      <c r="AH448" s="197"/>
      <c r="AI448" s="197"/>
      <c r="AJ448" s="197"/>
      <c r="AK448" s="197"/>
      <c r="AL448" s="197"/>
      <c r="AM448" s="197"/>
      <c r="AN448" s="197"/>
      <c r="AO448" s="197"/>
      <c r="AP448" s="197"/>
      <c r="AQ448" s="197"/>
      <c r="AR448" s="197"/>
      <c r="AS448" s="197"/>
      <c r="AT448" s="197"/>
      <c r="AU448" s="197"/>
      <c r="AV448" s="197"/>
      <c r="AW448" s="197"/>
      <c r="AX448" s="197"/>
      <c r="AY448" s="197"/>
      <c r="AZ448" s="197"/>
      <c r="BA448" s="197"/>
      <c r="BB448" s="197"/>
      <c r="BC448" s="197"/>
      <c r="BD448" s="197"/>
      <c r="BE448" s="197"/>
      <c r="BF448" s="197"/>
      <c r="BG448" s="197"/>
      <c r="BH448" s="197"/>
      <c r="BI448" s="197"/>
      <c r="BJ448" s="197"/>
      <c r="BK448" s="197"/>
      <c r="BL448" s="197"/>
      <c r="BM448" s="197"/>
      <c r="BN448" s="197"/>
      <c r="BO448" s="197"/>
      <c r="BP448" s="197"/>
      <c r="BQ448" s="197"/>
      <c r="BR448" s="197"/>
      <c r="BS448" s="197"/>
      <c r="BT448" s="197"/>
    </row>
    <row r="449">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c r="AA449" s="197"/>
      <c r="AB449" s="197"/>
      <c r="AC449" s="197"/>
      <c r="AD449" s="197"/>
      <c r="AE449" s="197"/>
      <c r="AF449" s="197"/>
      <c r="AG449" s="197"/>
      <c r="AH449" s="197"/>
      <c r="AI449" s="197"/>
      <c r="AJ449" s="197"/>
      <c r="AK449" s="197"/>
      <c r="AL449" s="197"/>
      <c r="AM449" s="197"/>
      <c r="AN449" s="197"/>
      <c r="AO449" s="197"/>
      <c r="AP449" s="197"/>
      <c r="AQ449" s="197"/>
      <c r="AR449" s="197"/>
      <c r="AS449" s="197"/>
      <c r="AT449" s="197"/>
      <c r="AU449" s="197"/>
      <c r="AV449" s="197"/>
      <c r="AW449" s="197"/>
      <c r="AX449" s="197"/>
      <c r="AY449" s="197"/>
      <c r="AZ449" s="197"/>
      <c r="BA449" s="197"/>
      <c r="BB449" s="197"/>
      <c r="BC449" s="197"/>
      <c r="BD449" s="197"/>
      <c r="BE449" s="197"/>
      <c r="BF449" s="197"/>
      <c r="BG449" s="197"/>
      <c r="BH449" s="197"/>
      <c r="BI449" s="197"/>
      <c r="BJ449" s="197"/>
      <c r="BK449" s="197"/>
      <c r="BL449" s="197"/>
      <c r="BM449" s="197"/>
      <c r="BN449" s="197"/>
      <c r="BO449" s="197"/>
      <c r="BP449" s="197"/>
      <c r="BQ449" s="197"/>
      <c r="BR449" s="197"/>
      <c r="BS449" s="197"/>
      <c r="BT449" s="197"/>
    </row>
    <row r="450">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c r="AA450" s="197"/>
      <c r="AB450" s="197"/>
      <c r="AC450" s="197"/>
      <c r="AD450" s="197"/>
      <c r="AE450" s="197"/>
      <c r="AF450" s="197"/>
      <c r="AG450" s="197"/>
      <c r="AH450" s="197"/>
      <c r="AI450" s="197"/>
      <c r="AJ450" s="197"/>
      <c r="AK450" s="197"/>
      <c r="AL450" s="197"/>
      <c r="AM450" s="197"/>
      <c r="AN450" s="197"/>
      <c r="AO450" s="197"/>
      <c r="AP450" s="197"/>
      <c r="AQ450" s="197"/>
      <c r="AR450" s="197"/>
      <c r="AS450" s="197"/>
      <c r="AT450" s="197"/>
      <c r="AU450" s="197"/>
      <c r="AV450" s="197"/>
      <c r="AW450" s="197"/>
      <c r="AX450" s="197"/>
      <c r="AY450" s="197"/>
      <c r="AZ450" s="197"/>
      <c r="BA450" s="197"/>
      <c r="BB450" s="197"/>
      <c r="BC450" s="197"/>
      <c r="BD450" s="197"/>
      <c r="BE450" s="197"/>
      <c r="BF450" s="197"/>
      <c r="BG450" s="197"/>
      <c r="BH450" s="197"/>
      <c r="BI450" s="197"/>
      <c r="BJ450" s="197"/>
      <c r="BK450" s="197"/>
      <c r="BL450" s="197"/>
      <c r="BM450" s="197"/>
      <c r="BN450" s="197"/>
      <c r="BO450" s="197"/>
      <c r="BP450" s="197"/>
      <c r="BQ450" s="197"/>
      <c r="BR450" s="197"/>
      <c r="BS450" s="197"/>
      <c r="BT450" s="197"/>
    </row>
    <row r="451">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c r="AA451" s="197"/>
      <c r="AB451" s="197"/>
      <c r="AC451" s="197"/>
      <c r="AD451" s="197"/>
      <c r="AE451" s="197"/>
      <c r="AF451" s="197"/>
      <c r="AG451" s="197"/>
      <c r="AH451" s="197"/>
      <c r="AI451" s="197"/>
      <c r="AJ451" s="197"/>
      <c r="AK451" s="197"/>
      <c r="AL451" s="197"/>
      <c r="AM451" s="197"/>
      <c r="AN451" s="197"/>
      <c r="AO451" s="197"/>
      <c r="AP451" s="197"/>
      <c r="AQ451" s="197"/>
      <c r="AR451" s="197"/>
      <c r="AS451" s="197"/>
      <c r="AT451" s="197"/>
      <c r="AU451" s="197"/>
      <c r="AV451" s="197"/>
      <c r="AW451" s="197"/>
      <c r="AX451" s="197"/>
      <c r="AY451" s="197"/>
      <c r="AZ451" s="197"/>
      <c r="BA451" s="197"/>
      <c r="BB451" s="197"/>
      <c r="BC451" s="197"/>
      <c r="BD451" s="197"/>
      <c r="BE451" s="197"/>
      <c r="BF451" s="197"/>
      <c r="BG451" s="197"/>
      <c r="BH451" s="197"/>
      <c r="BI451" s="197"/>
      <c r="BJ451" s="197"/>
      <c r="BK451" s="197"/>
      <c r="BL451" s="197"/>
      <c r="BM451" s="197"/>
      <c r="BN451" s="197"/>
      <c r="BO451" s="197"/>
      <c r="BP451" s="197"/>
      <c r="BQ451" s="197"/>
      <c r="BR451" s="197"/>
      <c r="BS451" s="197"/>
      <c r="BT451" s="197"/>
    </row>
    <row r="452">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c r="AA452" s="197"/>
      <c r="AB452" s="197"/>
      <c r="AC452" s="197"/>
      <c r="AD452" s="197"/>
      <c r="AE452" s="197"/>
      <c r="AF452" s="197"/>
      <c r="AG452" s="197"/>
      <c r="AH452" s="197"/>
      <c r="AI452" s="197"/>
      <c r="AJ452" s="197"/>
      <c r="AK452" s="197"/>
      <c r="AL452" s="197"/>
      <c r="AM452" s="197"/>
      <c r="AN452" s="197"/>
      <c r="AO452" s="197"/>
      <c r="AP452" s="197"/>
      <c r="AQ452" s="197"/>
      <c r="AR452" s="197"/>
      <c r="AS452" s="197"/>
      <c r="AT452" s="197"/>
      <c r="AU452" s="197"/>
      <c r="AV452" s="197"/>
      <c r="AW452" s="197"/>
      <c r="AX452" s="197"/>
      <c r="AY452" s="197"/>
      <c r="AZ452" s="197"/>
      <c r="BA452" s="197"/>
      <c r="BB452" s="197"/>
      <c r="BC452" s="197"/>
      <c r="BD452" s="197"/>
      <c r="BE452" s="197"/>
      <c r="BF452" s="197"/>
      <c r="BG452" s="197"/>
      <c r="BH452" s="197"/>
      <c r="BI452" s="197"/>
      <c r="BJ452" s="197"/>
      <c r="BK452" s="197"/>
      <c r="BL452" s="197"/>
      <c r="BM452" s="197"/>
      <c r="BN452" s="197"/>
      <c r="BO452" s="197"/>
      <c r="BP452" s="197"/>
      <c r="BQ452" s="197"/>
      <c r="BR452" s="197"/>
      <c r="BS452" s="197"/>
      <c r="BT452" s="197"/>
    </row>
    <row r="453">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c r="AA453" s="197"/>
      <c r="AB453" s="197"/>
      <c r="AC453" s="197"/>
      <c r="AD453" s="197"/>
      <c r="AE453" s="197"/>
      <c r="AF453" s="197"/>
      <c r="AG453" s="197"/>
      <c r="AH453" s="197"/>
      <c r="AI453" s="197"/>
      <c r="AJ453" s="197"/>
      <c r="AK453" s="197"/>
      <c r="AL453" s="197"/>
      <c r="AM453" s="197"/>
      <c r="AN453" s="197"/>
      <c r="AO453" s="197"/>
      <c r="AP453" s="197"/>
      <c r="AQ453" s="197"/>
      <c r="AR453" s="197"/>
      <c r="AS453" s="197"/>
      <c r="AT453" s="197"/>
      <c r="AU453" s="197"/>
      <c r="AV453" s="197"/>
      <c r="AW453" s="197"/>
      <c r="AX453" s="197"/>
      <c r="AY453" s="197"/>
      <c r="AZ453" s="197"/>
      <c r="BA453" s="197"/>
      <c r="BB453" s="197"/>
      <c r="BC453" s="197"/>
      <c r="BD453" s="197"/>
      <c r="BE453" s="197"/>
      <c r="BF453" s="197"/>
      <c r="BG453" s="197"/>
      <c r="BH453" s="197"/>
      <c r="BI453" s="197"/>
      <c r="BJ453" s="197"/>
      <c r="BK453" s="197"/>
      <c r="BL453" s="197"/>
      <c r="BM453" s="197"/>
      <c r="BN453" s="197"/>
      <c r="BO453" s="197"/>
      <c r="BP453" s="197"/>
      <c r="BQ453" s="197"/>
      <c r="BR453" s="197"/>
      <c r="BS453" s="197"/>
      <c r="BT453" s="197"/>
    </row>
    <row r="454">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c r="AA454" s="197"/>
      <c r="AB454" s="197"/>
      <c r="AC454" s="197"/>
      <c r="AD454" s="197"/>
      <c r="AE454" s="197"/>
      <c r="AF454" s="197"/>
      <c r="AG454" s="197"/>
      <c r="AH454" s="197"/>
      <c r="AI454" s="197"/>
      <c r="AJ454" s="197"/>
      <c r="AK454" s="197"/>
      <c r="AL454" s="197"/>
      <c r="AM454" s="197"/>
      <c r="AN454" s="197"/>
      <c r="AO454" s="197"/>
      <c r="AP454" s="197"/>
      <c r="AQ454" s="197"/>
      <c r="AR454" s="197"/>
      <c r="AS454" s="197"/>
      <c r="AT454" s="197"/>
      <c r="AU454" s="197"/>
      <c r="AV454" s="197"/>
      <c r="AW454" s="197"/>
      <c r="AX454" s="197"/>
      <c r="AY454" s="197"/>
      <c r="AZ454" s="197"/>
      <c r="BA454" s="197"/>
      <c r="BB454" s="197"/>
      <c r="BC454" s="197"/>
      <c r="BD454" s="197"/>
      <c r="BE454" s="197"/>
      <c r="BF454" s="197"/>
      <c r="BG454" s="197"/>
      <c r="BH454" s="197"/>
      <c r="BI454" s="197"/>
      <c r="BJ454" s="197"/>
      <c r="BK454" s="197"/>
      <c r="BL454" s="197"/>
      <c r="BM454" s="197"/>
      <c r="BN454" s="197"/>
      <c r="BO454" s="197"/>
      <c r="BP454" s="197"/>
      <c r="BQ454" s="197"/>
      <c r="BR454" s="197"/>
      <c r="BS454" s="197"/>
      <c r="BT454" s="197"/>
    </row>
    <row r="455">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c r="AA455" s="197"/>
      <c r="AB455" s="197"/>
      <c r="AC455" s="197"/>
      <c r="AD455" s="197"/>
      <c r="AE455" s="197"/>
      <c r="AF455" s="197"/>
      <c r="AG455" s="197"/>
      <c r="AH455" s="197"/>
      <c r="AI455" s="197"/>
      <c r="AJ455" s="197"/>
      <c r="AK455" s="197"/>
      <c r="AL455" s="197"/>
      <c r="AM455" s="197"/>
      <c r="AN455" s="197"/>
      <c r="AO455" s="197"/>
      <c r="AP455" s="197"/>
      <c r="AQ455" s="197"/>
      <c r="AR455" s="197"/>
      <c r="AS455" s="197"/>
      <c r="AT455" s="197"/>
      <c r="AU455" s="197"/>
      <c r="AV455" s="197"/>
      <c r="AW455" s="197"/>
      <c r="AX455" s="197"/>
      <c r="AY455" s="197"/>
      <c r="AZ455" s="197"/>
      <c r="BA455" s="197"/>
      <c r="BB455" s="197"/>
      <c r="BC455" s="197"/>
      <c r="BD455" s="197"/>
      <c r="BE455" s="197"/>
      <c r="BF455" s="197"/>
      <c r="BG455" s="197"/>
      <c r="BH455" s="197"/>
      <c r="BI455" s="197"/>
      <c r="BJ455" s="197"/>
      <c r="BK455" s="197"/>
      <c r="BL455" s="197"/>
      <c r="BM455" s="197"/>
      <c r="BN455" s="197"/>
      <c r="BO455" s="197"/>
      <c r="BP455" s="197"/>
      <c r="BQ455" s="197"/>
      <c r="BR455" s="197"/>
      <c r="BS455" s="197"/>
      <c r="BT455" s="197"/>
    </row>
    <row r="456">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c r="AA456" s="197"/>
      <c r="AB456" s="197"/>
      <c r="AC456" s="197"/>
      <c r="AD456" s="197"/>
      <c r="AE456" s="197"/>
      <c r="AF456" s="197"/>
      <c r="AG456" s="197"/>
      <c r="AH456" s="197"/>
      <c r="AI456" s="197"/>
      <c r="AJ456" s="197"/>
      <c r="AK456" s="197"/>
      <c r="AL456" s="197"/>
      <c r="AM456" s="197"/>
      <c r="AN456" s="197"/>
      <c r="AO456" s="197"/>
      <c r="AP456" s="197"/>
      <c r="AQ456" s="197"/>
      <c r="AR456" s="197"/>
      <c r="AS456" s="197"/>
      <c r="AT456" s="197"/>
      <c r="AU456" s="197"/>
      <c r="AV456" s="197"/>
      <c r="AW456" s="197"/>
      <c r="AX456" s="197"/>
      <c r="AY456" s="197"/>
      <c r="AZ456" s="197"/>
      <c r="BA456" s="197"/>
      <c r="BB456" s="197"/>
      <c r="BC456" s="197"/>
      <c r="BD456" s="197"/>
      <c r="BE456" s="197"/>
      <c r="BF456" s="197"/>
      <c r="BG456" s="197"/>
      <c r="BH456" s="197"/>
      <c r="BI456" s="197"/>
      <c r="BJ456" s="197"/>
      <c r="BK456" s="197"/>
      <c r="BL456" s="197"/>
      <c r="BM456" s="197"/>
      <c r="BN456" s="197"/>
      <c r="BO456" s="197"/>
      <c r="BP456" s="197"/>
      <c r="BQ456" s="197"/>
      <c r="BR456" s="197"/>
      <c r="BS456" s="197"/>
      <c r="BT456" s="197"/>
    </row>
    <row r="457">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c r="AA457" s="197"/>
      <c r="AB457" s="197"/>
      <c r="AC457" s="197"/>
      <c r="AD457" s="197"/>
      <c r="AE457" s="197"/>
      <c r="AF457" s="197"/>
      <c r="AG457" s="197"/>
      <c r="AH457" s="197"/>
      <c r="AI457" s="197"/>
      <c r="AJ457" s="197"/>
      <c r="AK457" s="197"/>
      <c r="AL457" s="197"/>
      <c r="AM457" s="197"/>
      <c r="AN457" s="197"/>
      <c r="AO457" s="197"/>
      <c r="AP457" s="197"/>
      <c r="AQ457" s="197"/>
      <c r="AR457" s="197"/>
      <c r="AS457" s="197"/>
      <c r="AT457" s="197"/>
      <c r="AU457" s="197"/>
      <c r="AV457" s="197"/>
      <c r="AW457" s="197"/>
      <c r="AX457" s="197"/>
      <c r="AY457" s="197"/>
      <c r="AZ457" s="197"/>
      <c r="BA457" s="197"/>
      <c r="BB457" s="197"/>
      <c r="BC457" s="197"/>
      <c r="BD457" s="197"/>
      <c r="BE457" s="197"/>
      <c r="BF457" s="197"/>
      <c r="BG457" s="197"/>
      <c r="BH457" s="197"/>
      <c r="BI457" s="197"/>
      <c r="BJ457" s="197"/>
      <c r="BK457" s="197"/>
      <c r="BL457" s="197"/>
      <c r="BM457" s="197"/>
      <c r="BN457" s="197"/>
      <c r="BO457" s="197"/>
      <c r="BP457" s="197"/>
      <c r="BQ457" s="197"/>
      <c r="BR457" s="197"/>
      <c r="BS457" s="197"/>
      <c r="BT457" s="197"/>
    </row>
    <row r="458">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c r="AA458" s="197"/>
      <c r="AB458" s="197"/>
      <c r="AC458" s="197"/>
      <c r="AD458" s="197"/>
      <c r="AE458" s="197"/>
      <c r="AF458" s="197"/>
      <c r="AG458" s="197"/>
      <c r="AH458" s="197"/>
      <c r="AI458" s="197"/>
      <c r="AJ458" s="197"/>
      <c r="AK458" s="197"/>
      <c r="AL458" s="197"/>
      <c r="AM458" s="197"/>
      <c r="AN458" s="197"/>
      <c r="AO458" s="197"/>
      <c r="AP458" s="197"/>
      <c r="AQ458" s="197"/>
      <c r="AR458" s="197"/>
      <c r="AS458" s="197"/>
      <c r="AT458" s="197"/>
      <c r="AU458" s="197"/>
      <c r="AV458" s="197"/>
      <c r="AW458" s="197"/>
      <c r="AX458" s="197"/>
      <c r="AY458" s="197"/>
      <c r="AZ458" s="197"/>
      <c r="BA458" s="197"/>
      <c r="BB458" s="197"/>
      <c r="BC458" s="197"/>
      <c r="BD458" s="197"/>
      <c r="BE458" s="197"/>
      <c r="BF458" s="197"/>
      <c r="BG458" s="197"/>
      <c r="BH458" s="197"/>
      <c r="BI458" s="197"/>
      <c r="BJ458" s="197"/>
      <c r="BK458" s="197"/>
      <c r="BL458" s="197"/>
      <c r="BM458" s="197"/>
      <c r="BN458" s="197"/>
      <c r="BO458" s="197"/>
      <c r="BP458" s="197"/>
      <c r="BQ458" s="197"/>
      <c r="BR458" s="197"/>
      <c r="BS458" s="197"/>
      <c r="BT458" s="197"/>
    </row>
    <row r="459">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c r="AA459" s="197"/>
      <c r="AB459" s="197"/>
      <c r="AC459" s="197"/>
      <c r="AD459" s="197"/>
      <c r="AE459" s="197"/>
      <c r="AF459" s="197"/>
      <c r="AG459" s="197"/>
      <c r="AH459" s="197"/>
      <c r="AI459" s="197"/>
      <c r="AJ459" s="197"/>
      <c r="AK459" s="197"/>
      <c r="AL459" s="197"/>
      <c r="AM459" s="197"/>
      <c r="AN459" s="197"/>
      <c r="AO459" s="197"/>
      <c r="AP459" s="197"/>
      <c r="AQ459" s="197"/>
      <c r="AR459" s="197"/>
      <c r="AS459" s="197"/>
      <c r="AT459" s="197"/>
      <c r="AU459" s="197"/>
      <c r="AV459" s="197"/>
      <c r="AW459" s="197"/>
      <c r="AX459" s="197"/>
      <c r="AY459" s="197"/>
      <c r="AZ459" s="197"/>
      <c r="BA459" s="197"/>
      <c r="BB459" s="197"/>
      <c r="BC459" s="197"/>
      <c r="BD459" s="197"/>
      <c r="BE459" s="197"/>
      <c r="BF459" s="197"/>
      <c r="BG459" s="197"/>
      <c r="BH459" s="197"/>
      <c r="BI459" s="197"/>
      <c r="BJ459" s="197"/>
      <c r="BK459" s="197"/>
      <c r="BL459" s="197"/>
      <c r="BM459" s="197"/>
      <c r="BN459" s="197"/>
      <c r="BO459" s="197"/>
      <c r="BP459" s="197"/>
      <c r="BQ459" s="197"/>
      <c r="BR459" s="197"/>
      <c r="BS459" s="197"/>
      <c r="BT459" s="197"/>
    </row>
    <row r="460">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c r="AA460" s="197"/>
      <c r="AB460" s="197"/>
      <c r="AC460" s="197"/>
      <c r="AD460" s="197"/>
      <c r="AE460" s="197"/>
      <c r="AF460" s="197"/>
      <c r="AG460" s="197"/>
      <c r="AH460" s="197"/>
      <c r="AI460" s="197"/>
      <c r="AJ460" s="197"/>
      <c r="AK460" s="197"/>
      <c r="AL460" s="197"/>
      <c r="AM460" s="197"/>
      <c r="AN460" s="197"/>
      <c r="AO460" s="197"/>
      <c r="AP460" s="197"/>
      <c r="AQ460" s="197"/>
      <c r="AR460" s="197"/>
      <c r="AS460" s="197"/>
      <c r="AT460" s="197"/>
      <c r="AU460" s="197"/>
      <c r="AV460" s="197"/>
      <c r="AW460" s="197"/>
      <c r="AX460" s="197"/>
      <c r="AY460" s="197"/>
      <c r="AZ460" s="197"/>
      <c r="BA460" s="197"/>
      <c r="BB460" s="197"/>
      <c r="BC460" s="197"/>
      <c r="BD460" s="197"/>
      <c r="BE460" s="197"/>
      <c r="BF460" s="197"/>
      <c r="BG460" s="197"/>
      <c r="BH460" s="197"/>
      <c r="BI460" s="197"/>
      <c r="BJ460" s="197"/>
      <c r="BK460" s="197"/>
      <c r="BL460" s="197"/>
      <c r="BM460" s="197"/>
      <c r="BN460" s="197"/>
      <c r="BO460" s="197"/>
      <c r="BP460" s="197"/>
      <c r="BQ460" s="197"/>
      <c r="BR460" s="197"/>
      <c r="BS460" s="197"/>
      <c r="BT460" s="197"/>
    </row>
    <row r="461">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c r="AA461" s="197"/>
      <c r="AB461" s="197"/>
      <c r="AC461" s="197"/>
      <c r="AD461" s="197"/>
      <c r="AE461" s="197"/>
      <c r="AF461" s="197"/>
      <c r="AG461" s="197"/>
      <c r="AH461" s="197"/>
      <c r="AI461" s="197"/>
      <c r="AJ461" s="197"/>
      <c r="AK461" s="197"/>
      <c r="AL461" s="197"/>
      <c r="AM461" s="197"/>
      <c r="AN461" s="197"/>
      <c r="AO461" s="197"/>
      <c r="AP461" s="197"/>
      <c r="AQ461" s="197"/>
      <c r="AR461" s="197"/>
      <c r="AS461" s="197"/>
      <c r="AT461" s="197"/>
      <c r="AU461" s="197"/>
      <c r="AV461" s="197"/>
      <c r="AW461" s="197"/>
      <c r="AX461" s="197"/>
      <c r="AY461" s="197"/>
      <c r="AZ461" s="197"/>
      <c r="BA461" s="197"/>
      <c r="BB461" s="197"/>
      <c r="BC461" s="197"/>
      <c r="BD461" s="197"/>
      <c r="BE461" s="197"/>
      <c r="BF461" s="197"/>
      <c r="BG461" s="197"/>
      <c r="BH461" s="197"/>
      <c r="BI461" s="197"/>
      <c r="BJ461" s="197"/>
      <c r="BK461" s="197"/>
      <c r="BL461" s="197"/>
      <c r="BM461" s="197"/>
      <c r="BN461" s="197"/>
      <c r="BO461" s="197"/>
      <c r="BP461" s="197"/>
      <c r="BQ461" s="197"/>
      <c r="BR461" s="197"/>
      <c r="BS461" s="197"/>
      <c r="BT461" s="197"/>
    </row>
    <row r="462">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c r="AA462" s="197"/>
      <c r="AB462" s="197"/>
      <c r="AC462" s="197"/>
      <c r="AD462" s="197"/>
      <c r="AE462" s="197"/>
      <c r="AF462" s="197"/>
      <c r="AG462" s="197"/>
      <c r="AH462" s="197"/>
      <c r="AI462" s="197"/>
      <c r="AJ462" s="197"/>
      <c r="AK462" s="197"/>
      <c r="AL462" s="197"/>
      <c r="AM462" s="197"/>
      <c r="AN462" s="197"/>
      <c r="AO462" s="197"/>
      <c r="AP462" s="197"/>
      <c r="AQ462" s="197"/>
      <c r="AR462" s="197"/>
      <c r="AS462" s="197"/>
      <c r="AT462" s="197"/>
      <c r="AU462" s="197"/>
      <c r="AV462" s="197"/>
      <c r="AW462" s="197"/>
      <c r="AX462" s="197"/>
      <c r="AY462" s="197"/>
      <c r="AZ462" s="197"/>
      <c r="BA462" s="197"/>
      <c r="BB462" s="197"/>
      <c r="BC462" s="197"/>
      <c r="BD462" s="197"/>
      <c r="BE462" s="197"/>
      <c r="BF462" s="197"/>
      <c r="BG462" s="197"/>
      <c r="BH462" s="197"/>
      <c r="BI462" s="197"/>
      <c r="BJ462" s="197"/>
      <c r="BK462" s="197"/>
      <c r="BL462" s="197"/>
      <c r="BM462" s="197"/>
      <c r="BN462" s="197"/>
      <c r="BO462" s="197"/>
      <c r="BP462" s="197"/>
      <c r="BQ462" s="197"/>
      <c r="BR462" s="197"/>
      <c r="BS462" s="197"/>
      <c r="BT462" s="197"/>
    </row>
    <row r="463">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c r="AA463" s="197"/>
      <c r="AB463" s="197"/>
      <c r="AC463" s="197"/>
      <c r="AD463" s="197"/>
      <c r="AE463" s="197"/>
      <c r="AF463" s="197"/>
      <c r="AG463" s="197"/>
      <c r="AH463" s="197"/>
      <c r="AI463" s="197"/>
      <c r="AJ463" s="197"/>
      <c r="AK463" s="197"/>
      <c r="AL463" s="197"/>
      <c r="AM463" s="197"/>
      <c r="AN463" s="197"/>
      <c r="AO463" s="197"/>
      <c r="AP463" s="197"/>
      <c r="AQ463" s="197"/>
      <c r="AR463" s="197"/>
      <c r="AS463" s="197"/>
      <c r="AT463" s="197"/>
      <c r="AU463" s="197"/>
      <c r="AV463" s="197"/>
      <c r="AW463" s="197"/>
      <c r="AX463" s="197"/>
      <c r="AY463" s="197"/>
      <c r="AZ463" s="197"/>
      <c r="BA463" s="197"/>
      <c r="BB463" s="197"/>
      <c r="BC463" s="197"/>
      <c r="BD463" s="197"/>
      <c r="BE463" s="197"/>
      <c r="BF463" s="197"/>
      <c r="BG463" s="197"/>
      <c r="BH463" s="197"/>
      <c r="BI463" s="197"/>
      <c r="BJ463" s="197"/>
      <c r="BK463" s="197"/>
      <c r="BL463" s="197"/>
      <c r="BM463" s="197"/>
      <c r="BN463" s="197"/>
      <c r="BO463" s="197"/>
      <c r="BP463" s="197"/>
      <c r="BQ463" s="197"/>
      <c r="BR463" s="197"/>
      <c r="BS463" s="197"/>
      <c r="BT463" s="197"/>
    </row>
    <row r="464">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c r="AA464" s="197"/>
      <c r="AB464" s="197"/>
      <c r="AC464" s="197"/>
      <c r="AD464" s="197"/>
      <c r="AE464" s="197"/>
      <c r="AF464" s="197"/>
      <c r="AG464" s="197"/>
      <c r="AH464" s="197"/>
      <c r="AI464" s="197"/>
      <c r="AJ464" s="197"/>
      <c r="AK464" s="197"/>
      <c r="AL464" s="197"/>
      <c r="AM464" s="197"/>
      <c r="AN464" s="197"/>
      <c r="AO464" s="197"/>
      <c r="AP464" s="197"/>
      <c r="AQ464" s="197"/>
      <c r="AR464" s="197"/>
      <c r="AS464" s="197"/>
      <c r="AT464" s="197"/>
      <c r="AU464" s="197"/>
      <c r="AV464" s="197"/>
      <c r="AW464" s="197"/>
      <c r="AX464" s="197"/>
      <c r="AY464" s="197"/>
      <c r="AZ464" s="197"/>
      <c r="BA464" s="197"/>
      <c r="BB464" s="197"/>
      <c r="BC464" s="197"/>
      <c r="BD464" s="197"/>
      <c r="BE464" s="197"/>
      <c r="BF464" s="197"/>
      <c r="BG464" s="197"/>
      <c r="BH464" s="197"/>
      <c r="BI464" s="197"/>
      <c r="BJ464" s="197"/>
      <c r="BK464" s="197"/>
      <c r="BL464" s="197"/>
      <c r="BM464" s="197"/>
      <c r="BN464" s="197"/>
      <c r="BO464" s="197"/>
      <c r="BP464" s="197"/>
      <c r="BQ464" s="197"/>
      <c r="BR464" s="197"/>
      <c r="BS464" s="197"/>
      <c r="BT464" s="197"/>
    </row>
    <row r="465">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c r="AA465" s="197"/>
      <c r="AB465" s="197"/>
      <c r="AC465" s="197"/>
      <c r="AD465" s="197"/>
      <c r="AE465" s="197"/>
      <c r="AF465" s="197"/>
      <c r="AG465" s="197"/>
      <c r="AH465" s="197"/>
      <c r="AI465" s="197"/>
      <c r="AJ465" s="197"/>
      <c r="AK465" s="197"/>
      <c r="AL465" s="197"/>
      <c r="AM465" s="197"/>
      <c r="AN465" s="197"/>
      <c r="AO465" s="197"/>
      <c r="AP465" s="197"/>
      <c r="AQ465" s="197"/>
      <c r="AR465" s="197"/>
      <c r="AS465" s="197"/>
      <c r="AT465" s="197"/>
      <c r="AU465" s="197"/>
      <c r="AV465" s="197"/>
      <c r="AW465" s="197"/>
      <c r="AX465" s="197"/>
      <c r="AY465" s="197"/>
      <c r="AZ465" s="197"/>
      <c r="BA465" s="197"/>
      <c r="BB465" s="197"/>
      <c r="BC465" s="197"/>
      <c r="BD465" s="197"/>
      <c r="BE465" s="197"/>
      <c r="BF465" s="197"/>
      <c r="BG465" s="197"/>
      <c r="BH465" s="197"/>
      <c r="BI465" s="197"/>
      <c r="BJ465" s="197"/>
      <c r="BK465" s="197"/>
      <c r="BL465" s="197"/>
      <c r="BM465" s="197"/>
      <c r="BN465" s="197"/>
      <c r="BO465" s="197"/>
      <c r="BP465" s="197"/>
      <c r="BQ465" s="197"/>
      <c r="BR465" s="197"/>
      <c r="BS465" s="197"/>
      <c r="BT465" s="197"/>
    </row>
    <row r="466">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c r="AA466" s="197"/>
      <c r="AB466" s="197"/>
      <c r="AC466" s="197"/>
      <c r="AD466" s="197"/>
      <c r="AE466" s="197"/>
      <c r="AF466" s="197"/>
      <c r="AG466" s="197"/>
      <c r="AH466" s="197"/>
      <c r="AI466" s="197"/>
      <c r="AJ466" s="197"/>
      <c r="AK466" s="197"/>
      <c r="AL466" s="197"/>
      <c r="AM466" s="197"/>
      <c r="AN466" s="197"/>
      <c r="AO466" s="197"/>
      <c r="AP466" s="197"/>
      <c r="AQ466" s="197"/>
      <c r="AR466" s="197"/>
      <c r="AS466" s="197"/>
      <c r="AT466" s="197"/>
      <c r="AU466" s="197"/>
      <c r="AV466" s="197"/>
      <c r="AW466" s="197"/>
      <c r="AX466" s="197"/>
      <c r="AY466" s="197"/>
      <c r="AZ466" s="197"/>
      <c r="BA466" s="197"/>
      <c r="BB466" s="197"/>
      <c r="BC466" s="197"/>
      <c r="BD466" s="197"/>
      <c r="BE466" s="197"/>
      <c r="BF466" s="197"/>
      <c r="BG466" s="197"/>
      <c r="BH466" s="197"/>
      <c r="BI466" s="197"/>
      <c r="BJ466" s="197"/>
      <c r="BK466" s="197"/>
      <c r="BL466" s="197"/>
      <c r="BM466" s="197"/>
      <c r="BN466" s="197"/>
      <c r="BO466" s="197"/>
      <c r="BP466" s="197"/>
      <c r="BQ466" s="197"/>
      <c r="BR466" s="197"/>
      <c r="BS466" s="197"/>
      <c r="BT466" s="197"/>
    </row>
    <row r="467">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c r="AA467" s="197"/>
      <c r="AB467" s="197"/>
      <c r="AC467" s="197"/>
      <c r="AD467" s="197"/>
      <c r="AE467" s="197"/>
      <c r="AF467" s="197"/>
      <c r="AG467" s="197"/>
      <c r="AH467" s="197"/>
      <c r="AI467" s="197"/>
      <c r="AJ467" s="197"/>
      <c r="AK467" s="197"/>
      <c r="AL467" s="197"/>
      <c r="AM467" s="197"/>
      <c r="AN467" s="197"/>
      <c r="AO467" s="197"/>
      <c r="AP467" s="197"/>
      <c r="AQ467" s="197"/>
      <c r="AR467" s="197"/>
      <c r="AS467" s="197"/>
      <c r="AT467" s="197"/>
      <c r="AU467" s="197"/>
      <c r="AV467" s="197"/>
      <c r="AW467" s="197"/>
      <c r="AX467" s="197"/>
      <c r="AY467" s="197"/>
      <c r="AZ467" s="197"/>
      <c r="BA467" s="197"/>
      <c r="BB467" s="197"/>
      <c r="BC467" s="197"/>
      <c r="BD467" s="197"/>
      <c r="BE467" s="197"/>
      <c r="BF467" s="197"/>
      <c r="BG467" s="197"/>
      <c r="BH467" s="197"/>
      <c r="BI467" s="197"/>
      <c r="BJ467" s="197"/>
      <c r="BK467" s="197"/>
      <c r="BL467" s="197"/>
      <c r="BM467" s="197"/>
      <c r="BN467" s="197"/>
      <c r="BO467" s="197"/>
      <c r="BP467" s="197"/>
      <c r="BQ467" s="197"/>
      <c r="BR467" s="197"/>
      <c r="BS467" s="197"/>
      <c r="BT467" s="197"/>
    </row>
    <row r="468">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c r="AA468" s="197"/>
      <c r="AB468" s="197"/>
      <c r="AC468" s="197"/>
      <c r="AD468" s="197"/>
      <c r="AE468" s="197"/>
      <c r="AF468" s="197"/>
      <c r="AG468" s="197"/>
      <c r="AH468" s="197"/>
      <c r="AI468" s="197"/>
      <c r="AJ468" s="197"/>
      <c r="AK468" s="197"/>
      <c r="AL468" s="197"/>
      <c r="AM468" s="197"/>
      <c r="AN468" s="197"/>
      <c r="AO468" s="197"/>
      <c r="AP468" s="197"/>
      <c r="AQ468" s="197"/>
      <c r="AR468" s="197"/>
      <c r="AS468" s="197"/>
      <c r="AT468" s="197"/>
      <c r="AU468" s="197"/>
      <c r="AV468" s="197"/>
      <c r="AW468" s="197"/>
      <c r="AX468" s="197"/>
      <c r="AY468" s="197"/>
      <c r="AZ468" s="197"/>
      <c r="BA468" s="197"/>
      <c r="BB468" s="197"/>
      <c r="BC468" s="197"/>
      <c r="BD468" s="197"/>
      <c r="BE468" s="197"/>
      <c r="BF468" s="197"/>
      <c r="BG468" s="197"/>
      <c r="BH468" s="197"/>
      <c r="BI468" s="197"/>
      <c r="BJ468" s="197"/>
      <c r="BK468" s="197"/>
      <c r="BL468" s="197"/>
      <c r="BM468" s="197"/>
      <c r="BN468" s="197"/>
      <c r="BO468" s="197"/>
      <c r="BP468" s="197"/>
      <c r="BQ468" s="197"/>
      <c r="BR468" s="197"/>
      <c r="BS468" s="197"/>
      <c r="BT468" s="197"/>
    </row>
    <row r="469">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c r="AA469" s="197"/>
      <c r="AB469" s="197"/>
      <c r="AC469" s="197"/>
      <c r="AD469" s="197"/>
      <c r="AE469" s="197"/>
      <c r="AF469" s="197"/>
      <c r="AG469" s="197"/>
      <c r="AH469" s="197"/>
      <c r="AI469" s="197"/>
      <c r="AJ469" s="197"/>
      <c r="AK469" s="197"/>
      <c r="AL469" s="197"/>
      <c r="AM469" s="197"/>
      <c r="AN469" s="197"/>
      <c r="AO469" s="197"/>
      <c r="AP469" s="197"/>
      <c r="AQ469" s="197"/>
      <c r="AR469" s="197"/>
      <c r="AS469" s="197"/>
      <c r="AT469" s="197"/>
      <c r="AU469" s="197"/>
      <c r="AV469" s="197"/>
      <c r="AW469" s="197"/>
      <c r="AX469" s="197"/>
      <c r="AY469" s="197"/>
      <c r="AZ469" s="197"/>
      <c r="BA469" s="197"/>
      <c r="BB469" s="197"/>
      <c r="BC469" s="197"/>
      <c r="BD469" s="197"/>
      <c r="BE469" s="197"/>
      <c r="BF469" s="197"/>
      <c r="BG469" s="197"/>
      <c r="BH469" s="197"/>
      <c r="BI469" s="197"/>
      <c r="BJ469" s="197"/>
      <c r="BK469" s="197"/>
      <c r="BL469" s="197"/>
      <c r="BM469" s="197"/>
      <c r="BN469" s="197"/>
      <c r="BO469" s="197"/>
      <c r="BP469" s="197"/>
      <c r="BQ469" s="197"/>
      <c r="BR469" s="197"/>
      <c r="BS469" s="197"/>
      <c r="BT469" s="197"/>
    </row>
    <row r="470">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c r="AA470" s="197"/>
      <c r="AB470" s="197"/>
      <c r="AC470" s="197"/>
      <c r="AD470" s="197"/>
      <c r="AE470" s="197"/>
      <c r="AF470" s="197"/>
      <c r="AG470" s="197"/>
      <c r="AH470" s="197"/>
      <c r="AI470" s="197"/>
      <c r="AJ470" s="197"/>
      <c r="AK470" s="197"/>
      <c r="AL470" s="197"/>
      <c r="AM470" s="197"/>
      <c r="AN470" s="197"/>
      <c r="AO470" s="197"/>
      <c r="AP470" s="197"/>
      <c r="AQ470" s="197"/>
      <c r="AR470" s="197"/>
      <c r="AS470" s="197"/>
      <c r="AT470" s="197"/>
      <c r="AU470" s="197"/>
      <c r="AV470" s="197"/>
      <c r="AW470" s="197"/>
      <c r="AX470" s="197"/>
      <c r="AY470" s="197"/>
      <c r="AZ470" s="197"/>
      <c r="BA470" s="197"/>
      <c r="BB470" s="197"/>
      <c r="BC470" s="197"/>
      <c r="BD470" s="197"/>
      <c r="BE470" s="197"/>
      <c r="BF470" s="197"/>
      <c r="BG470" s="197"/>
      <c r="BH470" s="197"/>
      <c r="BI470" s="197"/>
      <c r="BJ470" s="197"/>
      <c r="BK470" s="197"/>
      <c r="BL470" s="197"/>
      <c r="BM470" s="197"/>
      <c r="BN470" s="197"/>
      <c r="BO470" s="197"/>
      <c r="BP470" s="197"/>
      <c r="BQ470" s="197"/>
      <c r="BR470" s="197"/>
      <c r="BS470" s="197"/>
      <c r="BT470" s="197"/>
    </row>
    <row r="471">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c r="AA471" s="197"/>
      <c r="AB471" s="197"/>
      <c r="AC471" s="197"/>
      <c r="AD471" s="197"/>
      <c r="AE471" s="197"/>
      <c r="AF471" s="197"/>
      <c r="AG471" s="197"/>
      <c r="AH471" s="197"/>
      <c r="AI471" s="197"/>
      <c r="AJ471" s="197"/>
      <c r="AK471" s="197"/>
      <c r="AL471" s="197"/>
      <c r="AM471" s="197"/>
      <c r="AN471" s="197"/>
      <c r="AO471" s="197"/>
      <c r="AP471" s="197"/>
      <c r="AQ471" s="197"/>
      <c r="AR471" s="197"/>
      <c r="AS471" s="197"/>
      <c r="AT471" s="197"/>
      <c r="AU471" s="197"/>
      <c r="AV471" s="197"/>
      <c r="AW471" s="197"/>
      <c r="AX471" s="197"/>
      <c r="AY471" s="197"/>
      <c r="AZ471" s="197"/>
      <c r="BA471" s="197"/>
      <c r="BB471" s="197"/>
      <c r="BC471" s="197"/>
      <c r="BD471" s="197"/>
      <c r="BE471" s="197"/>
      <c r="BF471" s="197"/>
      <c r="BG471" s="197"/>
      <c r="BH471" s="197"/>
      <c r="BI471" s="197"/>
      <c r="BJ471" s="197"/>
      <c r="BK471" s="197"/>
      <c r="BL471" s="197"/>
      <c r="BM471" s="197"/>
      <c r="BN471" s="197"/>
      <c r="BO471" s="197"/>
      <c r="BP471" s="197"/>
      <c r="BQ471" s="197"/>
      <c r="BR471" s="197"/>
      <c r="BS471" s="197"/>
      <c r="BT471" s="197"/>
    </row>
    <row r="472">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c r="AA472" s="197"/>
      <c r="AB472" s="197"/>
      <c r="AC472" s="197"/>
      <c r="AD472" s="197"/>
      <c r="AE472" s="197"/>
      <c r="AF472" s="197"/>
      <c r="AG472" s="197"/>
      <c r="AH472" s="197"/>
      <c r="AI472" s="197"/>
      <c r="AJ472" s="197"/>
      <c r="AK472" s="197"/>
      <c r="AL472" s="197"/>
      <c r="AM472" s="197"/>
      <c r="AN472" s="197"/>
      <c r="AO472" s="197"/>
      <c r="AP472" s="197"/>
      <c r="AQ472" s="197"/>
      <c r="AR472" s="197"/>
      <c r="AS472" s="197"/>
      <c r="AT472" s="197"/>
      <c r="AU472" s="197"/>
      <c r="AV472" s="197"/>
      <c r="AW472" s="197"/>
      <c r="AX472" s="197"/>
      <c r="AY472" s="197"/>
      <c r="AZ472" s="197"/>
      <c r="BA472" s="197"/>
      <c r="BB472" s="197"/>
      <c r="BC472" s="197"/>
      <c r="BD472" s="197"/>
      <c r="BE472" s="197"/>
      <c r="BF472" s="197"/>
      <c r="BG472" s="197"/>
      <c r="BH472" s="197"/>
      <c r="BI472" s="197"/>
      <c r="BJ472" s="197"/>
      <c r="BK472" s="197"/>
      <c r="BL472" s="197"/>
      <c r="BM472" s="197"/>
      <c r="BN472" s="197"/>
      <c r="BO472" s="197"/>
      <c r="BP472" s="197"/>
      <c r="BQ472" s="197"/>
      <c r="BR472" s="197"/>
      <c r="BS472" s="197"/>
      <c r="BT472" s="197"/>
    </row>
    <row r="473">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c r="AA473" s="197"/>
      <c r="AB473" s="197"/>
      <c r="AC473" s="197"/>
      <c r="AD473" s="197"/>
      <c r="AE473" s="197"/>
      <c r="AF473" s="197"/>
      <c r="AG473" s="197"/>
      <c r="AH473" s="197"/>
      <c r="AI473" s="197"/>
      <c r="AJ473" s="197"/>
      <c r="AK473" s="197"/>
      <c r="AL473" s="197"/>
      <c r="AM473" s="197"/>
      <c r="AN473" s="197"/>
      <c r="AO473" s="197"/>
      <c r="AP473" s="197"/>
      <c r="AQ473" s="197"/>
      <c r="AR473" s="197"/>
      <c r="AS473" s="197"/>
      <c r="AT473" s="197"/>
      <c r="AU473" s="197"/>
      <c r="AV473" s="197"/>
      <c r="AW473" s="197"/>
      <c r="AX473" s="197"/>
      <c r="AY473" s="197"/>
      <c r="AZ473" s="197"/>
      <c r="BA473" s="197"/>
      <c r="BB473" s="197"/>
      <c r="BC473" s="197"/>
      <c r="BD473" s="197"/>
      <c r="BE473" s="197"/>
      <c r="BF473" s="197"/>
      <c r="BG473" s="197"/>
      <c r="BH473" s="197"/>
      <c r="BI473" s="197"/>
      <c r="BJ473" s="197"/>
      <c r="BK473" s="197"/>
      <c r="BL473" s="197"/>
      <c r="BM473" s="197"/>
      <c r="BN473" s="197"/>
      <c r="BO473" s="197"/>
      <c r="BP473" s="197"/>
      <c r="BQ473" s="197"/>
      <c r="BR473" s="197"/>
      <c r="BS473" s="197"/>
      <c r="BT473" s="197"/>
    </row>
    <row r="474">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c r="AA474" s="197"/>
      <c r="AB474" s="197"/>
      <c r="AC474" s="197"/>
      <c r="AD474" s="197"/>
      <c r="AE474" s="197"/>
      <c r="AF474" s="197"/>
      <c r="AG474" s="197"/>
      <c r="AH474" s="197"/>
      <c r="AI474" s="197"/>
      <c r="AJ474" s="197"/>
      <c r="AK474" s="197"/>
      <c r="AL474" s="197"/>
      <c r="AM474" s="197"/>
      <c r="AN474" s="197"/>
      <c r="AO474" s="197"/>
      <c r="AP474" s="197"/>
      <c r="AQ474" s="197"/>
      <c r="AR474" s="197"/>
      <c r="AS474" s="197"/>
      <c r="AT474" s="197"/>
      <c r="AU474" s="197"/>
      <c r="AV474" s="197"/>
      <c r="AW474" s="197"/>
      <c r="AX474" s="197"/>
      <c r="AY474" s="197"/>
      <c r="AZ474" s="197"/>
      <c r="BA474" s="197"/>
      <c r="BB474" s="197"/>
      <c r="BC474" s="197"/>
      <c r="BD474" s="197"/>
      <c r="BE474" s="197"/>
      <c r="BF474" s="197"/>
      <c r="BG474" s="197"/>
      <c r="BH474" s="197"/>
      <c r="BI474" s="197"/>
      <c r="BJ474" s="197"/>
      <c r="BK474" s="197"/>
      <c r="BL474" s="197"/>
      <c r="BM474" s="197"/>
      <c r="BN474" s="197"/>
      <c r="BO474" s="197"/>
      <c r="BP474" s="197"/>
      <c r="BQ474" s="197"/>
      <c r="BR474" s="197"/>
      <c r="BS474" s="197"/>
      <c r="BT474" s="197"/>
    </row>
    <row r="475">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c r="AA475" s="197"/>
      <c r="AB475" s="197"/>
      <c r="AC475" s="197"/>
      <c r="AD475" s="197"/>
      <c r="AE475" s="197"/>
      <c r="AF475" s="197"/>
      <c r="AG475" s="197"/>
      <c r="AH475" s="197"/>
      <c r="AI475" s="197"/>
      <c r="AJ475" s="197"/>
      <c r="AK475" s="197"/>
      <c r="AL475" s="197"/>
      <c r="AM475" s="197"/>
      <c r="AN475" s="197"/>
      <c r="AO475" s="197"/>
      <c r="AP475" s="197"/>
      <c r="AQ475" s="197"/>
      <c r="AR475" s="197"/>
      <c r="AS475" s="197"/>
      <c r="AT475" s="197"/>
      <c r="AU475" s="197"/>
      <c r="AV475" s="197"/>
      <c r="AW475" s="197"/>
      <c r="AX475" s="197"/>
      <c r="AY475" s="197"/>
      <c r="AZ475" s="197"/>
      <c r="BA475" s="197"/>
      <c r="BB475" s="197"/>
      <c r="BC475" s="197"/>
      <c r="BD475" s="197"/>
      <c r="BE475" s="197"/>
      <c r="BF475" s="197"/>
      <c r="BG475" s="197"/>
      <c r="BH475" s="197"/>
      <c r="BI475" s="197"/>
      <c r="BJ475" s="197"/>
      <c r="BK475" s="197"/>
      <c r="BL475" s="197"/>
      <c r="BM475" s="197"/>
      <c r="BN475" s="197"/>
      <c r="BO475" s="197"/>
      <c r="BP475" s="197"/>
      <c r="BQ475" s="197"/>
      <c r="BR475" s="197"/>
      <c r="BS475" s="197"/>
      <c r="BT475" s="197"/>
    </row>
    <row r="476">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c r="AA476" s="197"/>
      <c r="AB476" s="197"/>
      <c r="AC476" s="197"/>
      <c r="AD476" s="197"/>
      <c r="AE476" s="197"/>
      <c r="AF476" s="197"/>
      <c r="AG476" s="197"/>
      <c r="AH476" s="197"/>
      <c r="AI476" s="197"/>
      <c r="AJ476" s="197"/>
      <c r="AK476" s="197"/>
      <c r="AL476" s="197"/>
      <c r="AM476" s="197"/>
      <c r="AN476" s="197"/>
      <c r="AO476" s="197"/>
      <c r="AP476" s="197"/>
      <c r="AQ476" s="197"/>
      <c r="AR476" s="197"/>
      <c r="AS476" s="197"/>
      <c r="AT476" s="197"/>
      <c r="AU476" s="197"/>
      <c r="AV476" s="197"/>
      <c r="AW476" s="197"/>
      <c r="AX476" s="197"/>
      <c r="AY476" s="197"/>
      <c r="AZ476" s="197"/>
      <c r="BA476" s="197"/>
      <c r="BB476" s="197"/>
      <c r="BC476" s="197"/>
      <c r="BD476" s="197"/>
      <c r="BE476" s="197"/>
      <c r="BF476" s="197"/>
      <c r="BG476" s="197"/>
      <c r="BH476" s="197"/>
      <c r="BI476" s="197"/>
      <c r="BJ476" s="197"/>
      <c r="BK476" s="197"/>
      <c r="BL476" s="197"/>
      <c r="BM476" s="197"/>
      <c r="BN476" s="197"/>
      <c r="BO476" s="197"/>
      <c r="BP476" s="197"/>
      <c r="BQ476" s="197"/>
      <c r="BR476" s="197"/>
      <c r="BS476" s="197"/>
      <c r="BT476" s="197"/>
    </row>
    <row r="477">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c r="AA477" s="197"/>
      <c r="AB477" s="197"/>
      <c r="AC477" s="197"/>
      <c r="AD477" s="197"/>
      <c r="AE477" s="197"/>
      <c r="AF477" s="197"/>
      <c r="AG477" s="197"/>
      <c r="AH477" s="197"/>
      <c r="AI477" s="197"/>
      <c r="AJ477" s="197"/>
      <c r="AK477" s="197"/>
      <c r="AL477" s="197"/>
      <c r="AM477" s="197"/>
      <c r="AN477" s="197"/>
      <c r="AO477" s="197"/>
      <c r="AP477" s="197"/>
      <c r="AQ477" s="197"/>
      <c r="AR477" s="197"/>
      <c r="AS477" s="197"/>
      <c r="AT477" s="197"/>
      <c r="AU477" s="197"/>
      <c r="AV477" s="197"/>
      <c r="AW477" s="197"/>
      <c r="AX477" s="197"/>
      <c r="AY477" s="197"/>
      <c r="AZ477" s="197"/>
      <c r="BA477" s="197"/>
      <c r="BB477" s="197"/>
      <c r="BC477" s="197"/>
      <c r="BD477" s="197"/>
      <c r="BE477" s="197"/>
      <c r="BF477" s="197"/>
      <c r="BG477" s="197"/>
      <c r="BH477" s="197"/>
      <c r="BI477" s="197"/>
      <c r="BJ477" s="197"/>
      <c r="BK477" s="197"/>
      <c r="BL477" s="197"/>
      <c r="BM477" s="197"/>
      <c r="BN477" s="197"/>
      <c r="BO477" s="197"/>
      <c r="BP477" s="197"/>
      <c r="BQ477" s="197"/>
      <c r="BR477" s="197"/>
      <c r="BS477" s="197"/>
      <c r="BT477" s="197"/>
    </row>
    <row r="478">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c r="AA478" s="197"/>
      <c r="AB478" s="197"/>
      <c r="AC478" s="197"/>
      <c r="AD478" s="197"/>
      <c r="AE478" s="197"/>
      <c r="AF478" s="197"/>
      <c r="AG478" s="197"/>
      <c r="AH478" s="197"/>
      <c r="AI478" s="197"/>
      <c r="AJ478" s="197"/>
      <c r="AK478" s="197"/>
      <c r="AL478" s="197"/>
      <c r="AM478" s="197"/>
      <c r="AN478" s="197"/>
      <c r="AO478" s="197"/>
      <c r="AP478" s="197"/>
      <c r="AQ478" s="197"/>
      <c r="AR478" s="197"/>
      <c r="AS478" s="197"/>
      <c r="AT478" s="197"/>
      <c r="AU478" s="197"/>
      <c r="AV478" s="197"/>
      <c r="AW478" s="197"/>
      <c r="AX478" s="197"/>
      <c r="AY478" s="197"/>
      <c r="AZ478" s="197"/>
      <c r="BA478" s="197"/>
      <c r="BB478" s="197"/>
      <c r="BC478" s="197"/>
      <c r="BD478" s="197"/>
      <c r="BE478" s="197"/>
      <c r="BF478" s="197"/>
      <c r="BG478" s="197"/>
      <c r="BH478" s="197"/>
      <c r="BI478" s="197"/>
      <c r="BJ478" s="197"/>
      <c r="BK478" s="197"/>
      <c r="BL478" s="197"/>
      <c r="BM478" s="197"/>
      <c r="BN478" s="197"/>
      <c r="BO478" s="197"/>
      <c r="BP478" s="197"/>
      <c r="BQ478" s="197"/>
      <c r="BR478" s="197"/>
      <c r="BS478" s="197"/>
      <c r="BT478" s="197"/>
    </row>
    <row r="479">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c r="AA479" s="197"/>
      <c r="AB479" s="197"/>
      <c r="AC479" s="197"/>
      <c r="AD479" s="197"/>
      <c r="AE479" s="197"/>
      <c r="AF479" s="197"/>
      <c r="AG479" s="197"/>
      <c r="AH479" s="197"/>
      <c r="AI479" s="197"/>
      <c r="AJ479" s="197"/>
      <c r="AK479" s="197"/>
      <c r="AL479" s="197"/>
      <c r="AM479" s="197"/>
      <c r="AN479" s="197"/>
      <c r="AO479" s="197"/>
      <c r="AP479" s="197"/>
      <c r="AQ479" s="197"/>
      <c r="AR479" s="197"/>
      <c r="AS479" s="197"/>
      <c r="AT479" s="197"/>
      <c r="AU479" s="197"/>
      <c r="AV479" s="197"/>
      <c r="AW479" s="197"/>
      <c r="AX479" s="197"/>
      <c r="AY479" s="197"/>
      <c r="AZ479" s="197"/>
      <c r="BA479" s="197"/>
      <c r="BB479" s="197"/>
      <c r="BC479" s="197"/>
      <c r="BD479" s="197"/>
      <c r="BE479" s="197"/>
      <c r="BF479" s="197"/>
      <c r="BG479" s="197"/>
      <c r="BH479" s="197"/>
      <c r="BI479" s="197"/>
      <c r="BJ479" s="197"/>
      <c r="BK479" s="197"/>
      <c r="BL479" s="197"/>
      <c r="BM479" s="197"/>
      <c r="BN479" s="197"/>
      <c r="BO479" s="197"/>
      <c r="BP479" s="197"/>
      <c r="BQ479" s="197"/>
      <c r="BR479" s="197"/>
      <c r="BS479" s="197"/>
      <c r="BT479" s="197"/>
    </row>
    <row r="480">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c r="AA480" s="197"/>
      <c r="AB480" s="197"/>
      <c r="AC480" s="197"/>
      <c r="AD480" s="197"/>
      <c r="AE480" s="197"/>
      <c r="AF480" s="197"/>
      <c r="AG480" s="197"/>
      <c r="AH480" s="197"/>
      <c r="AI480" s="197"/>
      <c r="AJ480" s="197"/>
      <c r="AK480" s="197"/>
      <c r="AL480" s="197"/>
      <c r="AM480" s="197"/>
      <c r="AN480" s="197"/>
      <c r="AO480" s="197"/>
      <c r="AP480" s="197"/>
      <c r="AQ480" s="197"/>
      <c r="AR480" s="197"/>
      <c r="AS480" s="197"/>
      <c r="AT480" s="197"/>
      <c r="AU480" s="197"/>
      <c r="AV480" s="197"/>
      <c r="AW480" s="197"/>
      <c r="AX480" s="197"/>
      <c r="AY480" s="197"/>
      <c r="AZ480" s="197"/>
      <c r="BA480" s="197"/>
      <c r="BB480" s="197"/>
      <c r="BC480" s="197"/>
      <c r="BD480" s="197"/>
      <c r="BE480" s="197"/>
      <c r="BF480" s="197"/>
      <c r="BG480" s="197"/>
      <c r="BH480" s="197"/>
      <c r="BI480" s="197"/>
      <c r="BJ480" s="197"/>
      <c r="BK480" s="197"/>
      <c r="BL480" s="197"/>
      <c r="BM480" s="197"/>
      <c r="BN480" s="197"/>
      <c r="BO480" s="197"/>
      <c r="BP480" s="197"/>
      <c r="BQ480" s="197"/>
      <c r="BR480" s="197"/>
      <c r="BS480" s="197"/>
      <c r="BT480" s="197"/>
    </row>
    <row r="481">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c r="AA481" s="197"/>
      <c r="AB481" s="197"/>
      <c r="AC481" s="197"/>
      <c r="AD481" s="197"/>
      <c r="AE481" s="197"/>
      <c r="AF481" s="197"/>
      <c r="AG481" s="197"/>
      <c r="AH481" s="197"/>
      <c r="AI481" s="197"/>
      <c r="AJ481" s="197"/>
      <c r="AK481" s="197"/>
      <c r="AL481" s="197"/>
      <c r="AM481" s="197"/>
      <c r="AN481" s="197"/>
      <c r="AO481" s="197"/>
      <c r="AP481" s="197"/>
      <c r="AQ481" s="197"/>
      <c r="AR481" s="197"/>
      <c r="AS481" s="197"/>
      <c r="AT481" s="197"/>
      <c r="AU481" s="197"/>
      <c r="AV481" s="197"/>
      <c r="AW481" s="197"/>
      <c r="AX481" s="197"/>
      <c r="AY481" s="197"/>
      <c r="AZ481" s="197"/>
      <c r="BA481" s="197"/>
      <c r="BB481" s="197"/>
      <c r="BC481" s="197"/>
      <c r="BD481" s="197"/>
      <c r="BE481" s="197"/>
      <c r="BF481" s="197"/>
      <c r="BG481" s="197"/>
      <c r="BH481" s="197"/>
      <c r="BI481" s="197"/>
      <c r="BJ481" s="197"/>
      <c r="BK481" s="197"/>
      <c r="BL481" s="197"/>
      <c r="BM481" s="197"/>
      <c r="BN481" s="197"/>
      <c r="BO481" s="197"/>
      <c r="BP481" s="197"/>
      <c r="BQ481" s="197"/>
      <c r="BR481" s="197"/>
      <c r="BS481" s="197"/>
      <c r="BT481" s="197"/>
    </row>
    <row r="482">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c r="AA482" s="197"/>
      <c r="AB482" s="197"/>
      <c r="AC482" s="197"/>
      <c r="AD482" s="197"/>
      <c r="AE482" s="197"/>
      <c r="AF482" s="197"/>
      <c r="AG482" s="197"/>
      <c r="AH482" s="197"/>
      <c r="AI482" s="197"/>
      <c r="AJ482" s="197"/>
      <c r="AK482" s="197"/>
      <c r="AL482" s="197"/>
      <c r="AM482" s="197"/>
      <c r="AN482" s="197"/>
      <c r="AO482" s="197"/>
      <c r="AP482" s="197"/>
      <c r="AQ482" s="197"/>
      <c r="AR482" s="197"/>
      <c r="AS482" s="197"/>
      <c r="AT482" s="197"/>
      <c r="AU482" s="197"/>
      <c r="AV482" s="197"/>
      <c r="AW482" s="197"/>
      <c r="AX482" s="197"/>
      <c r="AY482" s="197"/>
      <c r="AZ482" s="197"/>
      <c r="BA482" s="197"/>
      <c r="BB482" s="197"/>
      <c r="BC482" s="197"/>
      <c r="BD482" s="197"/>
      <c r="BE482" s="197"/>
      <c r="BF482" s="197"/>
      <c r="BG482" s="197"/>
      <c r="BH482" s="197"/>
      <c r="BI482" s="197"/>
      <c r="BJ482" s="197"/>
      <c r="BK482" s="197"/>
      <c r="BL482" s="197"/>
      <c r="BM482" s="197"/>
      <c r="BN482" s="197"/>
      <c r="BO482" s="197"/>
      <c r="BP482" s="197"/>
      <c r="BQ482" s="197"/>
      <c r="BR482" s="197"/>
      <c r="BS482" s="197"/>
      <c r="BT482" s="197"/>
    </row>
    <row r="483">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c r="AA483" s="197"/>
      <c r="AB483" s="197"/>
      <c r="AC483" s="197"/>
      <c r="AD483" s="197"/>
      <c r="AE483" s="197"/>
      <c r="AF483" s="197"/>
      <c r="AG483" s="197"/>
      <c r="AH483" s="197"/>
      <c r="AI483" s="197"/>
      <c r="AJ483" s="197"/>
      <c r="AK483" s="197"/>
      <c r="AL483" s="197"/>
      <c r="AM483" s="197"/>
      <c r="AN483" s="197"/>
      <c r="AO483" s="197"/>
      <c r="AP483" s="197"/>
      <c r="AQ483" s="197"/>
      <c r="AR483" s="197"/>
      <c r="AS483" s="197"/>
      <c r="AT483" s="197"/>
      <c r="AU483" s="197"/>
      <c r="AV483" s="197"/>
      <c r="AW483" s="197"/>
      <c r="AX483" s="197"/>
      <c r="AY483" s="197"/>
      <c r="AZ483" s="197"/>
      <c r="BA483" s="197"/>
      <c r="BB483" s="197"/>
      <c r="BC483" s="197"/>
      <c r="BD483" s="197"/>
      <c r="BE483" s="197"/>
      <c r="BF483" s="197"/>
      <c r="BG483" s="197"/>
      <c r="BH483" s="197"/>
      <c r="BI483" s="197"/>
      <c r="BJ483" s="197"/>
      <c r="BK483" s="197"/>
      <c r="BL483" s="197"/>
      <c r="BM483" s="197"/>
      <c r="BN483" s="197"/>
      <c r="BO483" s="197"/>
      <c r="BP483" s="197"/>
      <c r="BQ483" s="197"/>
      <c r="BR483" s="197"/>
      <c r="BS483" s="197"/>
      <c r="BT483" s="197"/>
    </row>
    <row r="484">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c r="AA484" s="197"/>
      <c r="AB484" s="197"/>
      <c r="AC484" s="197"/>
      <c r="AD484" s="197"/>
      <c r="AE484" s="197"/>
      <c r="AF484" s="197"/>
      <c r="AG484" s="197"/>
      <c r="AH484" s="197"/>
      <c r="AI484" s="197"/>
      <c r="AJ484" s="197"/>
      <c r="AK484" s="197"/>
      <c r="AL484" s="197"/>
      <c r="AM484" s="197"/>
      <c r="AN484" s="197"/>
      <c r="AO484" s="197"/>
      <c r="AP484" s="197"/>
      <c r="AQ484" s="197"/>
      <c r="AR484" s="197"/>
      <c r="AS484" s="197"/>
      <c r="AT484" s="197"/>
      <c r="AU484" s="197"/>
      <c r="AV484" s="197"/>
      <c r="AW484" s="197"/>
      <c r="AX484" s="197"/>
      <c r="AY484" s="197"/>
      <c r="AZ484" s="197"/>
      <c r="BA484" s="197"/>
      <c r="BB484" s="197"/>
      <c r="BC484" s="197"/>
      <c r="BD484" s="197"/>
      <c r="BE484" s="197"/>
      <c r="BF484" s="197"/>
      <c r="BG484" s="197"/>
      <c r="BH484" s="197"/>
      <c r="BI484" s="197"/>
      <c r="BJ484" s="197"/>
      <c r="BK484" s="197"/>
      <c r="BL484" s="197"/>
      <c r="BM484" s="197"/>
      <c r="BN484" s="197"/>
      <c r="BO484" s="197"/>
      <c r="BP484" s="197"/>
      <c r="BQ484" s="197"/>
      <c r="BR484" s="197"/>
      <c r="BS484" s="197"/>
      <c r="BT484" s="197"/>
    </row>
    <row r="485">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c r="AA485" s="197"/>
      <c r="AB485" s="197"/>
      <c r="AC485" s="197"/>
      <c r="AD485" s="197"/>
      <c r="AE485" s="197"/>
      <c r="AF485" s="197"/>
      <c r="AG485" s="197"/>
      <c r="AH485" s="197"/>
      <c r="AI485" s="197"/>
      <c r="AJ485" s="197"/>
      <c r="AK485" s="197"/>
      <c r="AL485" s="197"/>
      <c r="AM485" s="197"/>
      <c r="AN485" s="197"/>
      <c r="AO485" s="197"/>
      <c r="AP485" s="197"/>
      <c r="AQ485" s="197"/>
      <c r="AR485" s="197"/>
      <c r="AS485" s="197"/>
      <c r="AT485" s="197"/>
      <c r="AU485" s="197"/>
      <c r="AV485" s="197"/>
      <c r="AW485" s="197"/>
      <c r="AX485" s="197"/>
      <c r="AY485" s="197"/>
      <c r="AZ485" s="197"/>
      <c r="BA485" s="197"/>
      <c r="BB485" s="197"/>
      <c r="BC485" s="197"/>
      <c r="BD485" s="197"/>
      <c r="BE485" s="197"/>
      <c r="BF485" s="197"/>
      <c r="BG485" s="197"/>
      <c r="BH485" s="197"/>
      <c r="BI485" s="197"/>
      <c r="BJ485" s="197"/>
      <c r="BK485" s="197"/>
      <c r="BL485" s="197"/>
      <c r="BM485" s="197"/>
      <c r="BN485" s="197"/>
      <c r="BO485" s="197"/>
      <c r="BP485" s="197"/>
      <c r="BQ485" s="197"/>
      <c r="BR485" s="197"/>
      <c r="BS485" s="197"/>
      <c r="BT485" s="197"/>
    </row>
    <row r="486">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c r="AA486" s="197"/>
      <c r="AB486" s="197"/>
      <c r="AC486" s="197"/>
      <c r="AD486" s="197"/>
      <c r="AE486" s="197"/>
      <c r="AF486" s="197"/>
      <c r="AG486" s="197"/>
      <c r="AH486" s="197"/>
      <c r="AI486" s="197"/>
      <c r="AJ486" s="197"/>
      <c r="AK486" s="197"/>
      <c r="AL486" s="197"/>
      <c r="AM486" s="197"/>
      <c r="AN486" s="197"/>
      <c r="AO486" s="197"/>
      <c r="AP486" s="197"/>
      <c r="AQ486" s="197"/>
      <c r="AR486" s="197"/>
      <c r="AS486" s="197"/>
      <c r="AT486" s="197"/>
      <c r="AU486" s="197"/>
      <c r="AV486" s="197"/>
      <c r="AW486" s="197"/>
      <c r="AX486" s="197"/>
      <c r="AY486" s="197"/>
      <c r="AZ486" s="197"/>
      <c r="BA486" s="197"/>
      <c r="BB486" s="197"/>
      <c r="BC486" s="197"/>
      <c r="BD486" s="197"/>
      <c r="BE486" s="197"/>
      <c r="BF486" s="197"/>
      <c r="BG486" s="197"/>
      <c r="BH486" s="197"/>
      <c r="BI486" s="197"/>
      <c r="BJ486" s="197"/>
      <c r="BK486" s="197"/>
      <c r="BL486" s="197"/>
      <c r="BM486" s="197"/>
      <c r="BN486" s="197"/>
      <c r="BO486" s="197"/>
      <c r="BP486" s="197"/>
      <c r="BQ486" s="197"/>
      <c r="BR486" s="197"/>
      <c r="BS486" s="197"/>
      <c r="BT486" s="197"/>
    </row>
    <row r="487">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c r="AA487" s="197"/>
      <c r="AB487" s="197"/>
      <c r="AC487" s="197"/>
      <c r="AD487" s="197"/>
      <c r="AE487" s="197"/>
      <c r="AF487" s="197"/>
      <c r="AG487" s="197"/>
      <c r="AH487" s="197"/>
      <c r="AI487" s="197"/>
      <c r="AJ487" s="197"/>
      <c r="AK487" s="197"/>
      <c r="AL487" s="197"/>
      <c r="AM487" s="197"/>
      <c r="AN487" s="197"/>
      <c r="AO487" s="197"/>
      <c r="AP487" s="197"/>
      <c r="AQ487" s="197"/>
      <c r="AR487" s="197"/>
      <c r="AS487" s="197"/>
      <c r="AT487" s="197"/>
      <c r="AU487" s="197"/>
      <c r="AV487" s="197"/>
      <c r="AW487" s="197"/>
      <c r="AX487" s="197"/>
      <c r="AY487" s="197"/>
      <c r="AZ487" s="197"/>
      <c r="BA487" s="197"/>
      <c r="BB487" s="197"/>
      <c r="BC487" s="197"/>
      <c r="BD487" s="197"/>
      <c r="BE487" s="197"/>
      <c r="BF487" s="197"/>
      <c r="BG487" s="197"/>
      <c r="BH487" s="197"/>
      <c r="BI487" s="197"/>
      <c r="BJ487" s="197"/>
      <c r="BK487" s="197"/>
      <c r="BL487" s="197"/>
      <c r="BM487" s="197"/>
      <c r="BN487" s="197"/>
      <c r="BO487" s="197"/>
      <c r="BP487" s="197"/>
      <c r="BQ487" s="197"/>
      <c r="BR487" s="197"/>
      <c r="BS487" s="197"/>
      <c r="BT487" s="197"/>
    </row>
    <row r="488">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c r="AA488" s="197"/>
      <c r="AB488" s="197"/>
      <c r="AC488" s="197"/>
      <c r="AD488" s="197"/>
      <c r="AE488" s="197"/>
      <c r="AF488" s="197"/>
      <c r="AG488" s="197"/>
      <c r="AH488" s="197"/>
      <c r="AI488" s="197"/>
      <c r="AJ488" s="197"/>
      <c r="AK488" s="197"/>
      <c r="AL488" s="197"/>
      <c r="AM488" s="197"/>
      <c r="AN488" s="197"/>
      <c r="AO488" s="197"/>
      <c r="AP488" s="197"/>
      <c r="AQ488" s="197"/>
      <c r="AR488" s="197"/>
      <c r="AS488" s="197"/>
      <c r="AT488" s="197"/>
      <c r="AU488" s="197"/>
      <c r="AV488" s="197"/>
      <c r="AW488" s="197"/>
      <c r="AX488" s="197"/>
      <c r="AY488" s="197"/>
      <c r="AZ488" s="197"/>
      <c r="BA488" s="197"/>
      <c r="BB488" s="197"/>
      <c r="BC488" s="197"/>
      <c r="BD488" s="197"/>
      <c r="BE488" s="197"/>
      <c r="BF488" s="197"/>
      <c r="BG488" s="197"/>
      <c r="BH488" s="197"/>
      <c r="BI488" s="197"/>
      <c r="BJ488" s="197"/>
      <c r="BK488" s="197"/>
      <c r="BL488" s="197"/>
      <c r="BM488" s="197"/>
      <c r="BN488" s="197"/>
      <c r="BO488" s="197"/>
      <c r="BP488" s="197"/>
      <c r="BQ488" s="197"/>
      <c r="BR488" s="197"/>
      <c r="BS488" s="197"/>
      <c r="BT488" s="197"/>
    </row>
    <row r="489">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c r="AA489" s="197"/>
      <c r="AB489" s="197"/>
      <c r="AC489" s="197"/>
      <c r="AD489" s="197"/>
      <c r="AE489" s="197"/>
      <c r="AF489" s="197"/>
      <c r="AG489" s="197"/>
      <c r="AH489" s="197"/>
      <c r="AI489" s="197"/>
      <c r="AJ489" s="197"/>
      <c r="AK489" s="197"/>
      <c r="AL489" s="197"/>
      <c r="AM489" s="197"/>
      <c r="AN489" s="197"/>
      <c r="AO489" s="197"/>
      <c r="AP489" s="197"/>
      <c r="AQ489" s="197"/>
      <c r="AR489" s="197"/>
      <c r="AS489" s="197"/>
      <c r="AT489" s="197"/>
      <c r="AU489" s="197"/>
      <c r="AV489" s="197"/>
      <c r="AW489" s="197"/>
      <c r="AX489" s="197"/>
      <c r="AY489" s="197"/>
      <c r="AZ489" s="197"/>
      <c r="BA489" s="197"/>
      <c r="BB489" s="197"/>
      <c r="BC489" s="197"/>
      <c r="BD489" s="197"/>
      <c r="BE489" s="197"/>
      <c r="BF489" s="197"/>
      <c r="BG489" s="197"/>
      <c r="BH489" s="197"/>
      <c r="BI489" s="197"/>
      <c r="BJ489" s="197"/>
      <c r="BK489" s="197"/>
      <c r="BL489" s="197"/>
      <c r="BM489" s="197"/>
      <c r="BN489" s="197"/>
      <c r="BO489" s="197"/>
      <c r="BP489" s="197"/>
      <c r="BQ489" s="197"/>
      <c r="BR489" s="197"/>
      <c r="BS489" s="197"/>
      <c r="BT489" s="197"/>
    </row>
    <row r="490">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c r="AA490" s="197"/>
      <c r="AB490" s="197"/>
      <c r="AC490" s="197"/>
      <c r="AD490" s="197"/>
      <c r="AE490" s="197"/>
      <c r="AF490" s="197"/>
      <c r="AG490" s="197"/>
      <c r="AH490" s="197"/>
      <c r="AI490" s="197"/>
      <c r="AJ490" s="197"/>
      <c r="AK490" s="197"/>
      <c r="AL490" s="197"/>
      <c r="AM490" s="197"/>
      <c r="AN490" s="197"/>
      <c r="AO490" s="197"/>
      <c r="AP490" s="197"/>
      <c r="AQ490" s="197"/>
      <c r="AR490" s="197"/>
      <c r="AS490" s="197"/>
      <c r="AT490" s="197"/>
      <c r="AU490" s="197"/>
      <c r="AV490" s="197"/>
      <c r="AW490" s="197"/>
      <c r="AX490" s="197"/>
      <c r="AY490" s="197"/>
      <c r="AZ490" s="197"/>
      <c r="BA490" s="197"/>
      <c r="BB490" s="197"/>
      <c r="BC490" s="197"/>
      <c r="BD490" s="197"/>
      <c r="BE490" s="197"/>
      <c r="BF490" s="197"/>
      <c r="BG490" s="197"/>
      <c r="BH490" s="197"/>
      <c r="BI490" s="197"/>
      <c r="BJ490" s="197"/>
      <c r="BK490" s="197"/>
      <c r="BL490" s="197"/>
      <c r="BM490" s="197"/>
      <c r="BN490" s="197"/>
      <c r="BO490" s="197"/>
      <c r="BP490" s="197"/>
      <c r="BQ490" s="197"/>
      <c r="BR490" s="197"/>
      <c r="BS490" s="197"/>
      <c r="BT490" s="197"/>
    </row>
    <row r="491">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c r="AA491" s="197"/>
      <c r="AB491" s="197"/>
      <c r="AC491" s="197"/>
      <c r="AD491" s="197"/>
      <c r="AE491" s="197"/>
      <c r="AF491" s="197"/>
      <c r="AG491" s="197"/>
      <c r="AH491" s="197"/>
      <c r="AI491" s="197"/>
      <c r="AJ491" s="197"/>
      <c r="AK491" s="197"/>
      <c r="AL491" s="197"/>
      <c r="AM491" s="197"/>
      <c r="AN491" s="197"/>
      <c r="AO491" s="197"/>
      <c r="AP491" s="197"/>
      <c r="AQ491" s="197"/>
      <c r="AR491" s="197"/>
      <c r="AS491" s="197"/>
      <c r="AT491" s="197"/>
      <c r="AU491" s="197"/>
      <c r="AV491" s="197"/>
      <c r="AW491" s="197"/>
      <c r="AX491" s="197"/>
      <c r="AY491" s="197"/>
      <c r="AZ491" s="197"/>
      <c r="BA491" s="197"/>
      <c r="BB491" s="197"/>
      <c r="BC491" s="197"/>
      <c r="BD491" s="197"/>
      <c r="BE491" s="197"/>
      <c r="BF491" s="197"/>
      <c r="BG491" s="197"/>
      <c r="BH491" s="197"/>
      <c r="BI491" s="197"/>
      <c r="BJ491" s="197"/>
      <c r="BK491" s="197"/>
      <c r="BL491" s="197"/>
      <c r="BM491" s="197"/>
      <c r="BN491" s="197"/>
      <c r="BO491" s="197"/>
      <c r="BP491" s="197"/>
      <c r="BQ491" s="197"/>
      <c r="BR491" s="197"/>
      <c r="BS491" s="197"/>
      <c r="BT491" s="197"/>
    </row>
    <row r="492">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c r="AA492" s="197"/>
      <c r="AB492" s="197"/>
      <c r="AC492" s="197"/>
      <c r="AD492" s="197"/>
      <c r="AE492" s="197"/>
      <c r="AF492" s="197"/>
      <c r="AG492" s="197"/>
      <c r="AH492" s="197"/>
      <c r="AI492" s="197"/>
      <c r="AJ492" s="197"/>
      <c r="AK492" s="197"/>
      <c r="AL492" s="197"/>
      <c r="AM492" s="197"/>
      <c r="AN492" s="197"/>
      <c r="AO492" s="197"/>
      <c r="AP492" s="197"/>
      <c r="AQ492" s="197"/>
      <c r="AR492" s="197"/>
      <c r="AS492" s="197"/>
      <c r="AT492" s="197"/>
      <c r="AU492" s="197"/>
      <c r="AV492" s="197"/>
      <c r="AW492" s="197"/>
      <c r="AX492" s="197"/>
      <c r="AY492" s="197"/>
      <c r="AZ492" s="197"/>
      <c r="BA492" s="197"/>
      <c r="BB492" s="197"/>
      <c r="BC492" s="197"/>
      <c r="BD492" s="197"/>
      <c r="BE492" s="197"/>
      <c r="BF492" s="197"/>
      <c r="BG492" s="197"/>
      <c r="BH492" s="197"/>
      <c r="BI492" s="197"/>
      <c r="BJ492" s="197"/>
      <c r="BK492" s="197"/>
      <c r="BL492" s="197"/>
      <c r="BM492" s="197"/>
      <c r="BN492" s="197"/>
      <c r="BO492" s="197"/>
      <c r="BP492" s="197"/>
      <c r="BQ492" s="197"/>
      <c r="BR492" s="197"/>
      <c r="BS492" s="197"/>
      <c r="BT492" s="197"/>
    </row>
    <row r="493">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c r="AA493" s="197"/>
      <c r="AB493" s="197"/>
      <c r="AC493" s="197"/>
      <c r="AD493" s="197"/>
      <c r="AE493" s="197"/>
      <c r="AF493" s="197"/>
      <c r="AG493" s="197"/>
      <c r="AH493" s="197"/>
      <c r="AI493" s="197"/>
      <c r="AJ493" s="197"/>
      <c r="AK493" s="197"/>
      <c r="AL493" s="197"/>
      <c r="AM493" s="197"/>
      <c r="AN493" s="197"/>
      <c r="AO493" s="197"/>
      <c r="AP493" s="197"/>
      <c r="AQ493" s="197"/>
      <c r="AR493" s="197"/>
      <c r="AS493" s="197"/>
      <c r="AT493" s="197"/>
      <c r="AU493" s="197"/>
      <c r="AV493" s="197"/>
      <c r="AW493" s="197"/>
      <c r="AX493" s="197"/>
      <c r="AY493" s="197"/>
      <c r="AZ493" s="197"/>
      <c r="BA493" s="197"/>
      <c r="BB493" s="197"/>
      <c r="BC493" s="197"/>
      <c r="BD493" s="197"/>
      <c r="BE493" s="197"/>
      <c r="BF493" s="197"/>
      <c r="BG493" s="197"/>
      <c r="BH493" s="197"/>
      <c r="BI493" s="197"/>
      <c r="BJ493" s="197"/>
      <c r="BK493" s="197"/>
      <c r="BL493" s="197"/>
      <c r="BM493" s="197"/>
      <c r="BN493" s="197"/>
      <c r="BO493" s="197"/>
      <c r="BP493" s="197"/>
      <c r="BQ493" s="197"/>
      <c r="BR493" s="197"/>
      <c r="BS493" s="197"/>
      <c r="BT493" s="197"/>
    </row>
    <row r="494">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c r="AA494" s="197"/>
      <c r="AB494" s="197"/>
      <c r="AC494" s="197"/>
      <c r="AD494" s="197"/>
      <c r="AE494" s="197"/>
      <c r="AF494" s="197"/>
      <c r="AG494" s="197"/>
      <c r="AH494" s="197"/>
      <c r="AI494" s="197"/>
      <c r="AJ494" s="197"/>
      <c r="AK494" s="197"/>
      <c r="AL494" s="197"/>
      <c r="AM494" s="197"/>
      <c r="AN494" s="197"/>
      <c r="AO494" s="197"/>
      <c r="AP494" s="197"/>
      <c r="AQ494" s="197"/>
      <c r="AR494" s="197"/>
      <c r="AS494" s="197"/>
      <c r="AT494" s="197"/>
      <c r="AU494" s="197"/>
      <c r="AV494" s="197"/>
      <c r="AW494" s="197"/>
      <c r="AX494" s="197"/>
      <c r="AY494" s="197"/>
      <c r="AZ494" s="197"/>
      <c r="BA494" s="197"/>
      <c r="BB494" s="197"/>
      <c r="BC494" s="197"/>
      <c r="BD494" s="197"/>
      <c r="BE494" s="197"/>
      <c r="BF494" s="197"/>
      <c r="BG494" s="197"/>
      <c r="BH494" s="197"/>
      <c r="BI494" s="197"/>
      <c r="BJ494" s="197"/>
      <c r="BK494" s="197"/>
      <c r="BL494" s="197"/>
      <c r="BM494" s="197"/>
      <c r="BN494" s="197"/>
      <c r="BO494" s="197"/>
      <c r="BP494" s="197"/>
      <c r="BQ494" s="197"/>
      <c r="BR494" s="197"/>
      <c r="BS494" s="197"/>
      <c r="BT494" s="197"/>
    </row>
    <row r="495">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c r="AA495" s="197"/>
      <c r="AB495" s="197"/>
      <c r="AC495" s="197"/>
      <c r="AD495" s="197"/>
      <c r="AE495" s="197"/>
      <c r="AF495" s="197"/>
      <c r="AG495" s="197"/>
      <c r="AH495" s="197"/>
      <c r="AI495" s="197"/>
      <c r="AJ495" s="197"/>
      <c r="AK495" s="197"/>
      <c r="AL495" s="197"/>
      <c r="AM495" s="197"/>
      <c r="AN495" s="197"/>
      <c r="AO495" s="197"/>
      <c r="AP495" s="197"/>
      <c r="AQ495" s="197"/>
      <c r="AR495" s="197"/>
      <c r="AS495" s="197"/>
      <c r="AT495" s="197"/>
      <c r="AU495" s="197"/>
      <c r="AV495" s="197"/>
      <c r="AW495" s="197"/>
      <c r="AX495" s="197"/>
      <c r="AY495" s="197"/>
      <c r="AZ495" s="197"/>
      <c r="BA495" s="197"/>
      <c r="BB495" s="197"/>
      <c r="BC495" s="197"/>
      <c r="BD495" s="197"/>
      <c r="BE495" s="197"/>
      <c r="BF495" s="197"/>
      <c r="BG495" s="197"/>
      <c r="BH495" s="197"/>
      <c r="BI495" s="197"/>
      <c r="BJ495" s="197"/>
      <c r="BK495" s="197"/>
      <c r="BL495" s="197"/>
      <c r="BM495" s="197"/>
      <c r="BN495" s="197"/>
      <c r="BO495" s="197"/>
      <c r="BP495" s="197"/>
      <c r="BQ495" s="197"/>
      <c r="BR495" s="197"/>
      <c r="BS495" s="197"/>
      <c r="BT495" s="197"/>
    </row>
    <row r="496">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c r="AA496" s="197"/>
      <c r="AB496" s="197"/>
      <c r="AC496" s="197"/>
      <c r="AD496" s="197"/>
      <c r="AE496" s="197"/>
      <c r="AF496" s="197"/>
      <c r="AG496" s="197"/>
      <c r="AH496" s="197"/>
      <c r="AI496" s="197"/>
      <c r="AJ496" s="197"/>
      <c r="AK496" s="197"/>
      <c r="AL496" s="197"/>
      <c r="AM496" s="197"/>
      <c r="AN496" s="197"/>
      <c r="AO496" s="197"/>
      <c r="AP496" s="197"/>
      <c r="AQ496" s="197"/>
      <c r="AR496" s="197"/>
      <c r="AS496" s="197"/>
      <c r="AT496" s="197"/>
      <c r="AU496" s="197"/>
      <c r="AV496" s="197"/>
      <c r="AW496" s="197"/>
      <c r="AX496" s="197"/>
      <c r="AY496" s="197"/>
      <c r="AZ496" s="197"/>
      <c r="BA496" s="197"/>
      <c r="BB496" s="197"/>
      <c r="BC496" s="197"/>
      <c r="BD496" s="197"/>
      <c r="BE496" s="197"/>
      <c r="BF496" s="197"/>
      <c r="BG496" s="197"/>
      <c r="BH496" s="197"/>
      <c r="BI496" s="197"/>
      <c r="BJ496" s="197"/>
      <c r="BK496" s="197"/>
      <c r="BL496" s="197"/>
      <c r="BM496" s="197"/>
      <c r="BN496" s="197"/>
      <c r="BO496" s="197"/>
      <c r="BP496" s="197"/>
      <c r="BQ496" s="197"/>
      <c r="BR496" s="197"/>
      <c r="BS496" s="197"/>
      <c r="BT496" s="197"/>
    </row>
    <row r="497">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c r="AA497" s="197"/>
      <c r="AB497" s="197"/>
      <c r="AC497" s="197"/>
      <c r="AD497" s="197"/>
      <c r="AE497" s="197"/>
      <c r="AF497" s="197"/>
      <c r="AG497" s="197"/>
      <c r="AH497" s="197"/>
      <c r="AI497" s="197"/>
      <c r="AJ497" s="197"/>
      <c r="AK497" s="197"/>
      <c r="AL497" s="197"/>
      <c r="AM497" s="197"/>
      <c r="AN497" s="197"/>
      <c r="AO497" s="197"/>
      <c r="AP497" s="197"/>
      <c r="AQ497" s="197"/>
      <c r="AR497" s="197"/>
      <c r="AS497" s="197"/>
      <c r="AT497" s="197"/>
      <c r="AU497" s="197"/>
      <c r="AV497" s="197"/>
      <c r="AW497" s="197"/>
      <c r="AX497" s="197"/>
      <c r="AY497" s="197"/>
      <c r="AZ497" s="197"/>
      <c r="BA497" s="197"/>
      <c r="BB497" s="197"/>
      <c r="BC497" s="197"/>
      <c r="BD497" s="197"/>
      <c r="BE497" s="197"/>
      <c r="BF497" s="197"/>
      <c r="BG497" s="197"/>
      <c r="BH497" s="197"/>
      <c r="BI497" s="197"/>
      <c r="BJ497" s="197"/>
      <c r="BK497" s="197"/>
      <c r="BL497" s="197"/>
      <c r="BM497" s="197"/>
      <c r="BN497" s="197"/>
      <c r="BO497" s="197"/>
      <c r="BP497" s="197"/>
      <c r="BQ497" s="197"/>
      <c r="BR497" s="197"/>
      <c r="BS497" s="197"/>
      <c r="BT497" s="197"/>
    </row>
    <row r="498">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c r="AA498" s="197"/>
      <c r="AB498" s="197"/>
      <c r="AC498" s="197"/>
      <c r="AD498" s="197"/>
      <c r="AE498" s="197"/>
      <c r="AF498" s="197"/>
      <c r="AG498" s="197"/>
      <c r="AH498" s="197"/>
      <c r="AI498" s="197"/>
      <c r="AJ498" s="197"/>
      <c r="AK498" s="197"/>
      <c r="AL498" s="197"/>
      <c r="AM498" s="197"/>
      <c r="AN498" s="197"/>
      <c r="AO498" s="197"/>
      <c r="AP498" s="197"/>
      <c r="AQ498" s="197"/>
      <c r="AR498" s="197"/>
      <c r="AS498" s="197"/>
      <c r="AT498" s="197"/>
      <c r="AU498" s="197"/>
      <c r="AV498" s="197"/>
      <c r="AW498" s="197"/>
      <c r="AX498" s="197"/>
      <c r="AY498" s="197"/>
      <c r="AZ498" s="197"/>
      <c r="BA498" s="197"/>
      <c r="BB498" s="197"/>
      <c r="BC498" s="197"/>
      <c r="BD498" s="197"/>
      <c r="BE498" s="197"/>
      <c r="BF498" s="197"/>
      <c r="BG498" s="197"/>
      <c r="BH498" s="197"/>
      <c r="BI498" s="197"/>
      <c r="BJ498" s="197"/>
      <c r="BK498" s="197"/>
      <c r="BL498" s="197"/>
      <c r="BM498" s="197"/>
      <c r="BN498" s="197"/>
      <c r="BO498" s="197"/>
      <c r="BP498" s="197"/>
      <c r="BQ498" s="197"/>
      <c r="BR498" s="197"/>
      <c r="BS498" s="197"/>
      <c r="BT498" s="197"/>
    </row>
    <row r="499">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c r="AA499" s="197"/>
      <c r="AB499" s="197"/>
      <c r="AC499" s="197"/>
      <c r="AD499" s="197"/>
      <c r="AE499" s="197"/>
      <c r="AF499" s="197"/>
      <c r="AG499" s="197"/>
      <c r="AH499" s="197"/>
      <c r="AI499" s="197"/>
      <c r="AJ499" s="197"/>
      <c r="AK499" s="197"/>
      <c r="AL499" s="197"/>
      <c r="AM499" s="197"/>
      <c r="AN499" s="197"/>
      <c r="AO499" s="197"/>
      <c r="AP499" s="197"/>
      <c r="AQ499" s="197"/>
      <c r="AR499" s="197"/>
      <c r="AS499" s="197"/>
      <c r="AT499" s="197"/>
      <c r="AU499" s="197"/>
      <c r="AV499" s="197"/>
      <c r="AW499" s="197"/>
      <c r="AX499" s="197"/>
      <c r="AY499" s="197"/>
      <c r="AZ499" s="197"/>
      <c r="BA499" s="197"/>
      <c r="BB499" s="197"/>
      <c r="BC499" s="197"/>
      <c r="BD499" s="197"/>
      <c r="BE499" s="197"/>
      <c r="BF499" s="197"/>
      <c r="BG499" s="197"/>
      <c r="BH499" s="197"/>
      <c r="BI499" s="197"/>
      <c r="BJ499" s="197"/>
      <c r="BK499" s="197"/>
      <c r="BL499" s="197"/>
      <c r="BM499" s="197"/>
      <c r="BN499" s="197"/>
      <c r="BO499" s="197"/>
      <c r="BP499" s="197"/>
      <c r="BQ499" s="197"/>
      <c r="BR499" s="197"/>
      <c r="BS499" s="197"/>
      <c r="BT499" s="197"/>
    </row>
    <row r="500">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c r="AA500" s="197"/>
      <c r="AB500" s="197"/>
      <c r="AC500" s="197"/>
      <c r="AD500" s="197"/>
      <c r="AE500" s="197"/>
      <c r="AF500" s="197"/>
      <c r="AG500" s="197"/>
      <c r="AH500" s="197"/>
      <c r="AI500" s="197"/>
      <c r="AJ500" s="197"/>
      <c r="AK500" s="197"/>
      <c r="AL500" s="197"/>
      <c r="AM500" s="197"/>
      <c r="AN500" s="197"/>
      <c r="AO500" s="197"/>
      <c r="AP500" s="197"/>
      <c r="AQ500" s="197"/>
      <c r="AR500" s="197"/>
      <c r="AS500" s="197"/>
      <c r="AT500" s="197"/>
      <c r="AU500" s="197"/>
      <c r="AV500" s="197"/>
      <c r="AW500" s="197"/>
      <c r="AX500" s="197"/>
      <c r="AY500" s="197"/>
      <c r="AZ500" s="197"/>
      <c r="BA500" s="197"/>
      <c r="BB500" s="197"/>
      <c r="BC500" s="197"/>
      <c r="BD500" s="197"/>
      <c r="BE500" s="197"/>
      <c r="BF500" s="197"/>
      <c r="BG500" s="197"/>
      <c r="BH500" s="197"/>
      <c r="BI500" s="197"/>
      <c r="BJ500" s="197"/>
      <c r="BK500" s="197"/>
      <c r="BL500" s="197"/>
      <c r="BM500" s="197"/>
      <c r="BN500" s="197"/>
      <c r="BO500" s="197"/>
      <c r="BP500" s="197"/>
      <c r="BQ500" s="197"/>
      <c r="BR500" s="197"/>
      <c r="BS500" s="197"/>
      <c r="BT500" s="197"/>
    </row>
    <row r="501">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c r="AA501" s="197"/>
      <c r="AB501" s="197"/>
      <c r="AC501" s="197"/>
      <c r="AD501" s="197"/>
      <c r="AE501" s="197"/>
      <c r="AF501" s="197"/>
      <c r="AG501" s="197"/>
      <c r="AH501" s="197"/>
      <c r="AI501" s="197"/>
      <c r="AJ501" s="197"/>
      <c r="AK501" s="197"/>
      <c r="AL501" s="197"/>
      <c r="AM501" s="197"/>
      <c r="AN501" s="197"/>
      <c r="AO501" s="197"/>
      <c r="AP501" s="197"/>
      <c r="AQ501" s="197"/>
      <c r="AR501" s="197"/>
      <c r="AS501" s="197"/>
      <c r="AT501" s="197"/>
      <c r="AU501" s="197"/>
      <c r="AV501" s="197"/>
      <c r="AW501" s="197"/>
      <c r="AX501" s="197"/>
      <c r="AY501" s="197"/>
      <c r="AZ501" s="197"/>
      <c r="BA501" s="197"/>
      <c r="BB501" s="197"/>
      <c r="BC501" s="197"/>
      <c r="BD501" s="197"/>
      <c r="BE501" s="197"/>
      <c r="BF501" s="197"/>
      <c r="BG501" s="197"/>
      <c r="BH501" s="197"/>
      <c r="BI501" s="197"/>
      <c r="BJ501" s="197"/>
      <c r="BK501" s="197"/>
      <c r="BL501" s="197"/>
      <c r="BM501" s="197"/>
      <c r="BN501" s="197"/>
      <c r="BO501" s="197"/>
      <c r="BP501" s="197"/>
      <c r="BQ501" s="197"/>
      <c r="BR501" s="197"/>
      <c r="BS501" s="197"/>
      <c r="BT501" s="197"/>
    </row>
    <row r="502">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c r="AA502" s="197"/>
      <c r="AB502" s="197"/>
      <c r="AC502" s="197"/>
      <c r="AD502" s="197"/>
      <c r="AE502" s="197"/>
      <c r="AF502" s="197"/>
      <c r="AG502" s="197"/>
      <c r="AH502" s="197"/>
      <c r="AI502" s="197"/>
      <c r="AJ502" s="197"/>
      <c r="AK502" s="197"/>
      <c r="AL502" s="197"/>
      <c r="AM502" s="197"/>
      <c r="AN502" s="197"/>
      <c r="AO502" s="197"/>
      <c r="AP502" s="197"/>
      <c r="AQ502" s="197"/>
      <c r="AR502" s="197"/>
      <c r="AS502" s="197"/>
      <c r="AT502" s="197"/>
      <c r="AU502" s="197"/>
      <c r="AV502" s="197"/>
      <c r="AW502" s="197"/>
      <c r="AX502" s="197"/>
      <c r="AY502" s="197"/>
      <c r="AZ502" s="197"/>
      <c r="BA502" s="197"/>
      <c r="BB502" s="197"/>
      <c r="BC502" s="197"/>
      <c r="BD502" s="197"/>
      <c r="BE502" s="197"/>
      <c r="BF502" s="197"/>
      <c r="BG502" s="197"/>
      <c r="BH502" s="197"/>
      <c r="BI502" s="197"/>
      <c r="BJ502" s="197"/>
      <c r="BK502" s="197"/>
      <c r="BL502" s="197"/>
      <c r="BM502" s="197"/>
      <c r="BN502" s="197"/>
      <c r="BO502" s="197"/>
      <c r="BP502" s="197"/>
      <c r="BQ502" s="197"/>
      <c r="BR502" s="197"/>
      <c r="BS502" s="197"/>
      <c r="BT502" s="197"/>
    </row>
    <row r="503">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c r="AA503" s="197"/>
      <c r="AB503" s="197"/>
      <c r="AC503" s="197"/>
      <c r="AD503" s="197"/>
      <c r="AE503" s="197"/>
      <c r="AF503" s="197"/>
      <c r="AG503" s="197"/>
      <c r="AH503" s="197"/>
      <c r="AI503" s="197"/>
      <c r="AJ503" s="197"/>
      <c r="AK503" s="197"/>
      <c r="AL503" s="197"/>
      <c r="AM503" s="197"/>
      <c r="AN503" s="197"/>
      <c r="AO503" s="197"/>
      <c r="AP503" s="197"/>
      <c r="AQ503" s="197"/>
      <c r="AR503" s="197"/>
      <c r="AS503" s="197"/>
      <c r="AT503" s="197"/>
      <c r="AU503" s="197"/>
      <c r="AV503" s="197"/>
      <c r="AW503" s="197"/>
      <c r="AX503" s="197"/>
      <c r="AY503" s="197"/>
      <c r="AZ503" s="197"/>
      <c r="BA503" s="197"/>
      <c r="BB503" s="197"/>
      <c r="BC503" s="197"/>
      <c r="BD503" s="197"/>
      <c r="BE503" s="197"/>
      <c r="BF503" s="197"/>
      <c r="BG503" s="197"/>
      <c r="BH503" s="197"/>
      <c r="BI503" s="197"/>
      <c r="BJ503" s="197"/>
      <c r="BK503" s="197"/>
      <c r="BL503" s="197"/>
      <c r="BM503" s="197"/>
      <c r="BN503" s="197"/>
      <c r="BO503" s="197"/>
      <c r="BP503" s="197"/>
      <c r="BQ503" s="197"/>
      <c r="BR503" s="197"/>
      <c r="BS503" s="197"/>
      <c r="BT503" s="197"/>
    </row>
    <row r="504">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c r="AA504" s="197"/>
      <c r="AB504" s="197"/>
      <c r="AC504" s="197"/>
      <c r="AD504" s="197"/>
      <c r="AE504" s="197"/>
      <c r="AF504" s="197"/>
      <c r="AG504" s="197"/>
      <c r="AH504" s="197"/>
      <c r="AI504" s="197"/>
      <c r="AJ504" s="197"/>
      <c r="AK504" s="197"/>
      <c r="AL504" s="197"/>
      <c r="AM504" s="197"/>
      <c r="AN504" s="197"/>
      <c r="AO504" s="197"/>
      <c r="AP504" s="197"/>
      <c r="AQ504" s="197"/>
      <c r="AR504" s="197"/>
      <c r="AS504" s="197"/>
      <c r="AT504" s="197"/>
      <c r="AU504" s="197"/>
      <c r="AV504" s="197"/>
      <c r="AW504" s="197"/>
      <c r="AX504" s="197"/>
      <c r="AY504" s="197"/>
      <c r="AZ504" s="197"/>
      <c r="BA504" s="197"/>
      <c r="BB504" s="197"/>
      <c r="BC504" s="197"/>
      <c r="BD504" s="197"/>
      <c r="BE504" s="197"/>
      <c r="BF504" s="197"/>
      <c r="BG504" s="197"/>
      <c r="BH504" s="197"/>
      <c r="BI504" s="197"/>
      <c r="BJ504" s="197"/>
      <c r="BK504" s="197"/>
      <c r="BL504" s="197"/>
      <c r="BM504" s="197"/>
      <c r="BN504" s="197"/>
      <c r="BO504" s="197"/>
      <c r="BP504" s="197"/>
      <c r="BQ504" s="197"/>
      <c r="BR504" s="197"/>
      <c r="BS504" s="197"/>
      <c r="BT504" s="197"/>
    </row>
    <row r="505">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c r="AA505" s="197"/>
      <c r="AB505" s="197"/>
      <c r="AC505" s="197"/>
      <c r="AD505" s="197"/>
      <c r="AE505" s="197"/>
      <c r="AF505" s="197"/>
      <c r="AG505" s="197"/>
      <c r="AH505" s="197"/>
      <c r="AI505" s="197"/>
      <c r="AJ505" s="197"/>
      <c r="AK505" s="197"/>
      <c r="AL505" s="197"/>
      <c r="AM505" s="197"/>
      <c r="AN505" s="197"/>
      <c r="AO505" s="197"/>
      <c r="AP505" s="197"/>
      <c r="AQ505" s="197"/>
      <c r="AR505" s="197"/>
      <c r="AS505" s="197"/>
      <c r="AT505" s="197"/>
      <c r="AU505" s="197"/>
      <c r="AV505" s="197"/>
      <c r="AW505" s="197"/>
      <c r="AX505" s="197"/>
      <c r="AY505" s="197"/>
      <c r="AZ505" s="197"/>
      <c r="BA505" s="197"/>
      <c r="BB505" s="197"/>
      <c r="BC505" s="197"/>
      <c r="BD505" s="197"/>
      <c r="BE505" s="197"/>
      <c r="BF505" s="197"/>
      <c r="BG505" s="197"/>
      <c r="BH505" s="197"/>
      <c r="BI505" s="197"/>
      <c r="BJ505" s="197"/>
      <c r="BK505" s="197"/>
      <c r="BL505" s="197"/>
      <c r="BM505" s="197"/>
      <c r="BN505" s="197"/>
      <c r="BO505" s="197"/>
      <c r="BP505" s="197"/>
      <c r="BQ505" s="197"/>
      <c r="BR505" s="197"/>
      <c r="BS505" s="197"/>
      <c r="BT505" s="197"/>
    </row>
    <row r="506">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c r="AA506" s="197"/>
      <c r="AB506" s="197"/>
      <c r="AC506" s="197"/>
      <c r="AD506" s="197"/>
      <c r="AE506" s="197"/>
      <c r="AF506" s="197"/>
      <c r="AG506" s="197"/>
      <c r="AH506" s="197"/>
      <c r="AI506" s="197"/>
      <c r="AJ506" s="197"/>
      <c r="AK506" s="197"/>
      <c r="AL506" s="197"/>
      <c r="AM506" s="197"/>
      <c r="AN506" s="197"/>
      <c r="AO506" s="197"/>
      <c r="AP506" s="197"/>
      <c r="AQ506" s="197"/>
      <c r="AR506" s="197"/>
      <c r="AS506" s="197"/>
      <c r="AT506" s="197"/>
      <c r="AU506" s="197"/>
      <c r="AV506" s="197"/>
      <c r="AW506" s="197"/>
      <c r="AX506" s="197"/>
      <c r="AY506" s="197"/>
      <c r="AZ506" s="197"/>
      <c r="BA506" s="197"/>
      <c r="BB506" s="197"/>
      <c r="BC506" s="197"/>
      <c r="BD506" s="197"/>
      <c r="BE506" s="197"/>
      <c r="BF506" s="197"/>
      <c r="BG506" s="197"/>
      <c r="BH506" s="197"/>
      <c r="BI506" s="197"/>
      <c r="BJ506" s="197"/>
      <c r="BK506" s="197"/>
      <c r="BL506" s="197"/>
      <c r="BM506" s="197"/>
      <c r="BN506" s="197"/>
      <c r="BO506" s="197"/>
      <c r="BP506" s="197"/>
      <c r="BQ506" s="197"/>
      <c r="BR506" s="197"/>
      <c r="BS506" s="197"/>
      <c r="BT506" s="197"/>
    </row>
    <row r="507">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c r="AA507" s="197"/>
      <c r="AB507" s="197"/>
      <c r="AC507" s="197"/>
      <c r="AD507" s="197"/>
      <c r="AE507" s="197"/>
      <c r="AF507" s="197"/>
      <c r="AG507" s="197"/>
      <c r="AH507" s="197"/>
      <c r="AI507" s="197"/>
      <c r="AJ507" s="197"/>
      <c r="AK507" s="197"/>
      <c r="AL507" s="197"/>
      <c r="AM507" s="197"/>
      <c r="AN507" s="197"/>
      <c r="AO507" s="197"/>
      <c r="AP507" s="197"/>
      <c r="AQ507" s="197"/>
      <c r="AR507" s="197"/>
      <c r="AS507" s="197"/>
      <c r="AT507" s="197"/>
      <c r="AU507" s="197"/>
      <c r="AV507" s="197"/>
      <c r="AW507" s="197"/>
      <c r="AX507" s="197"/>
      <c r="AY507" s="197"/>
      <c r="AZ507" s="197"/>
      <c r="BA507" s="197"/>
      <c r="BB507" s="197"/>
      <c r="BC507" s="197"/>
      <c r="BD507" s="197"/>
      <c r="BE507" s="197"/>
      <c r="BF507" s="197"/>
      <c r="BG507" s="197"/>
      <c r="BH507" s="197"/>
      <c r="BI507" s="197"/>
      <c r="BJ507" s="197"/>
      <c r="BK507" s="197"/>
      <c r="BL507" s="197"/>
      <c r="BM507" s="197"/>
      <c r="BN507" s="197"/>
      <c r="BO507" s="197"/>
      <c r="BP507" s="197"/>
      <c r="BQ507" s="197"/>
      <c r="BR507" s="197"/>
      <c r="BS507" s="197"/>
      <c r="BT507" s="197"/>
    </row>
    <row r="508">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c r="AA508" s="197"/>
      <c r="AB508" s="197"/>
      <c r="AC508" s="197"/>
      <c r="AD508" s="197"/>
      <c r="AE508" s="197"/>
      <c r="AF508" s="197"/>
      <c r="AG508" s="197"/>
      <c r="AH508" s="197"/>
      <c r="AI508" s="197"/>
      <c r="AJ508" s="197"/>
      <c r="AK508" s="197"/>
      <c r="AL508" s="197"/>
      <c r="AM508" s="197"/>
      <c r="AN508" s="197"/>
      <c r="AO508" s="197"/>
      <c r="AP508" s="197"/>
      <c r="AQ508" s="197"/>
      <c r="AR508" s="197"/>
      <c r="AS508" s="197"/>
      <c r="AT508" s="197"/>
      <c r="AU508" s="197"/>
      <c r="AV508" s="197"/>
      <c r="AW508" s="197"/>
      <c r="AX508" s="197"/>
      <c r="AY508" s="197"/>
      <c r="AZ508" s="197"/>
      <c r="BA508" s="197"/>
      <c r="BB508" s="197"/>
      <c r="BC508" s="197"/>
      <c r="BD508" s="197"/>
      <c r="BE508" s="197"/>
      <c r="BF508" s="197"/>
      <c r="BG508" s="197"/>
      <c r="BH508" s="197"/>
      <c r="BI508" s="197"/>
      <c r="BJ508" s="197"/>
      <c r="BK508" s="197"/>
      <c r="BL508" s="197"/>
      <c r="BM508" s="197"/>
      <c r="BN508" s="197"/>
      <c r="BO508" s="197"/>
      <c r="BP508" s="197"/>
      <c r="BQ508" s="197"/>
      <c r="BR508" s="197"/>
      <c r="BS508" s="197"/>
      <c r="BT508" s="197"/>
    </row>
    <row r="509">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c r="AA509" s="197"/>
      <c r="AB509" s="197"/>
      <c r="AC509" s="197"/>
      <c r="AD509" s="197"/>
      <c r="AE509" s="197"/>
      <c r="AF509" s="197"/>
      <c r="AG509" s="197"/>
      <c r="AH509" s="197"/>
      <c r="AI509" s="197"/>
      <c r="AJ509" s="197"/>
      <c r="AK509" s="197"/>
      <c r="AL509" s="197"/>
      <c r="AM509" s="197"/>
      <c r="AN509" s="197"/>
      <c r="AO509" s="197"/>
      <c r="AP509" s="197"/>
      <c r="AQ509" s="197"/>
      <c r="AR509" s="197"/>
      <c r="AS509" s="197"/>
      <c r="AT509" s="197"/>
      <c r="AU509" s="197"/>
      <c r="AV509" s="197"/>
      <c r="AW509" s="197"/>
      <c r="AX509" s="197"/>
      <c r="AY509" s="197"/>
      <c r="AZ509" s="197"/>
      <c r="BA509" s="197"/>
      <c r="BB509" s="197"/>
      <c r="BC509" s="197"/>
      <c r="BD509" s="197"/>
      <c r="BE509" s="197"/>
      <c r="BF509" s="197"/>
      <c r="BG509" s="197"/>
      <c r="BH509" s="197"/>
      <c r="BI509" s="197"/>
      <c r="BJ509" s="197"/>
      <c r="BK509" s="197"/>
      <c r="BL509" s="197"/>
      <c r="BM509" s="197"/>
      <c r="BN509" s="197"/>
      <c r="BO509" s="197"/>
      <c r="BP509" s="197"/>
      <c r="BQ509" s="197"/>
      <c r="BR509" s="197"/>
      <c r="BS509" s="197"/>
      <c r="BT509" s="197"/>
    </row>
    <row r="510">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c r="AA510" s="197"/>
      <c r="AB510" s="197"/>
      <c r="AC510" s="197"/>
      <c r="AD510" s="197"/>
      <c r="AE510" s="197"/>
      <c r="AF510" s="197"/>
      <c r="AG510" s="197"/>
      <c r="AH510" s="197"/>
      <c r="AI510" s="197"/>
      <c r="AJ510" s="197"/>
      <c r="AK510" s="197"/>
      <c r="AL510" s="197"/>
      <c r="AM510" s="197"/>
      <c r="AN510" s="197"/>
      <c r="AO510" s="197"/>
      <c r="AP510" s="197"/>
      <c r="AQ510" s="197"/>
      <c r="AR510" s="197"/>
      <c r="AS510" s="197"/>
      <c r="AT510" s="197"/>
      <c r="AU510" s="197"/>
      <c r="AV510" s="197"/>
      <c r="AW510" s="197"/>
      <c r="AX510" s="197"/>
      <c r="AY510" s="197"/>
      <c r="AZ510" s="197"/>
      <c r="BA510" s="197"/>
      <c r="BB510" s="197"/>
      <c r="BC510" s="197"/>
      <c r="BD510" s="197"/>
      <c r="BE510" s="197"/>
      <c r="BF510" s="197"/>
      <c r="BG510" s="197"/>
      <c r="BH510" s="197"/>
      <c r="BI510" s="197"/>
      <c r="BJ510" s="197"/>
      <c r="BK510" s="197"/>
      <c r="BL510" s="197"/>
      <c r="BM510" s="197"/>
      <c r="BN510" s="197"/>
      <c r="BO510" s="197"/>
      <c r="BP510" s="197"/>
      <c r="BQ510" s="197"/>
      <c r="BR510" s="197"/>
      <c r="BS510" s="197"/>
      <c r="BT510" s="197"/>
    </row>
    <row r="511">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c r="AA511" s="197"/>
      <c r="AB511" s="197"/>
      <c r="AC511" s="197"/>
      <c r="AD511" s="197"/>
      <c r="AE511" s="197"/>
      <c r="AF511" s="197"/>
      <c r="AG511" s="197"/>
      <c r="AH511" s="197"/>
      <c r="AI511" s="197"/>
      <c r="AJ511" s="197"/>
      <c r="AK511" s="197"/>
      <c r="AL511" s="197"/>
      <c r="AM511" s="197"/>
      <c r="AN511" s="197"/>
      <c r="AO511" s="197"/>
      <c r="AP511" s="197"/>
      <c r="AQ511" s="197"/>
      <c r="AR511" s="197"/>
      <c r="AS511" s="197"/>
      <c r="AT511" s="197"/>
      <c r="AU511" s="197"/>
      <c r="AV511" s="197"/>
      <c r="AW511" s="197"/>
      <c r="AX511" s="197"/>
      <c r="AY511" s="197"/>
      <c r="AZ511" s="197"/>
      <c r="BA511" s="197"/>
      <c r="BB511" s="197"/>
      <c r="BC511" s="197"/>
      <c r="BD511" s="197"/>
      <c r="BE511" s="197"/>
      <c r="BF511" s="197"/>
      <c r="BG511" s="197"/>
      <c r="BH511" s="197"/>
      <c r="BI511" s="197"/>
      <c r="BJ511" s="197"/>
      <c r="BK511" s="197"/>
      <c r="BL511" s="197"/>
      <c r="BM511" s="197"/>
      <c r="BN511" s="197"/>
      <c r="BO511" s="197"/>
      <c r="BP511" s="197"/>
      <c r="BQ511" s="197"/>
      <c r="BR511" s="197"/>
      <c r="BS511" s="197"/>
      <c r="BT511" s="197"/>
    </row>
    <row r="512">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c r="AA512" s="197"/>
      <c r="AB512" s="197"/>
      <c r="AC512" s="197"/>
      <c r="AD512" s="197"/>
      <c r="AE512" s="197"/>
      <c r="AF512" s="197"/>
      <c r="AG512" s="197"/>
      <c r="AH512" s="197"/>
      <c r="AI512" s="197"/>
      <c r="AJ512" s="197"/>
      <c r="AK512" s="197"/>
      <c r="AL512" s="197"/>
      <c r="AM512" s="197"/>
      <c r="AN512" s="197"/>
      <c r="AO512" s="197"/>
      <c r="AP512" s="197"/>
      <c r="AQ512" s="197"/>
      <c r="AR512" s="197"/>
      <c r="AS512" s="197"/>
      <c r="AT512" s="197"/>
      <c r="AU512" s="197"/>
      <c r="AV512" s="197"/>
      <c r="AW512" s="197"/>
      <c r="AX512" s="197"/>
      <c r="AY512" s="197"/>
      <c r="AZ512" s="197"/>
      <c r="BA512" s="197"/>
      <c r="BB512" s="197"/>
      <c r="BC512" s="197"/>
      <c r="BD512" s="197"/>
      <c r="BE512" s="197"/>
      <c r="BF512" s="197"/>
      <c r="BG512" s="197"/>
      <c r="BH512" s="197"/>
      <c r="BI512" s="197"/>
      <c r="BJ512" s="197"/>
      <c r="BK512" s="197"/>
      <c r="BL512" s="197"/>
      <c r="BM512" s="197"/>
      <c r="BN512" s="197"/>
      <c r="BO512" s="197"/>
      <c r="BP512" s="197"/>
      <c r="BQ512" s="197"/>
      <c r="BR512" s="197"/>
      <c r="BS512" s="197"/>
      <c r="BT512" s="197"/>
    </row>
    <row r="513">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c r="AA513" s="197"/>
      <c r="AB513" s="197"/>
      <c r="AC513" s="197"/>
      <c r="AD513" s="197"/>
      <c r="AE513" s="197"/>
      <c r="AF513" s="197"/>
      <c r="AG513" s="197"/>
      <c r="AH513" s="197"/>
      <c r="AI513" s="197"/>
      <c r="AJ513" s="197"/>
      <c r="AK513" s="197"/>
      <c r="AL513" s="197"/>
      <c r="AM513" s="197"/>
      <c r="AN513" s="197"/>
      <c r="AO513" s="197"/>
      <c r="AP513" s="197"/>
      <c r="AQ513" s="197"/>
      <c r="AR513" s="197"/>
      <c r="AS513" s="197"/>
      <c r="AT513" s="197"/>
      <c r="AU513" s="197"/>
      <c r="AV513" s="197"/>
      <c r="AW513" s="197"/>
      <c r="AX513" s="197"/>
      <c r="AY513" s="197"/>
      <c r="AZ513" s="197"/>
      <c r="BA513" s="197"/>
      <c r="BB513" s="197"/>
      <c r="BC513" s="197"/>
      <c r="BD513" s="197"/>
      <c r="BE513" s="197"/>
      <c r="BF513" s="197"/>
      <c r="BG513" s="197"/>
      <c r="BH513" s="197"/>
      <c r="BI513" s="197"/>
      <c r="BJ513" s="197"/>
      <c r="BK513" s="197"/>
      <c r="BL513" s="197"/>
      <c r="BM513" s="197"/>
      <c r="BN513" s="197"/>
      <c r="BO513" s="197"/>
      <c r="BP513" s="197"/>
      <c r="BQ513" s="197"/>
      <c r="BR513" s="197"/>
      <c r="BS513" s="197"/>
      <c r="BT513" s="197"/>
    </row>
    <row r="514">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c r="AA514" s="197"/>
      <c r="AB514" s="197"/>
      <c r="AC514" s="197"/>
      <c r="AD514" s="197"/>
      <c r="AE514" s="197"/>
      <c r="AF514" s="197"/>
      <c r="AG514" s="197"/>
      <c r="AH514" s="197"/>
      <c r="AI514" s="197"/>
      <c r="AJ514" s="197"/>
      <c r="AK514" s="197"/>
      <c r="AL514" s="197"/>
      <c r="AM514" s="197"/>
      <c r="AN514" s="197"/>
      <c r="AO514" s="197"/>
      <c r="AP514" s="197"/>
      <c r="AQ514" s="197"/>
      <c r="AR514" s="197"/>
      <c r="AS514" s="197"/>
      <c r="AT514" s="197"/>
      <c r="AU514" s="197"/>
      <c r="AV514" s="197"/>
      <c r="AW514" s="197"/>
      <c r="AX514" s="197"/>
      <c r="AY514" s="197"/>
      <c r="AZ514" s="197"/>
      <c r="BA514" s="197"/>
      <c r="BB514" s="197"/>
      <c r="BC514" s="197"/>
      <c r="BD514" s="197"/>
      <c r="BE514" s="197"/>
      <c r="BF514" s="197"/>
      <c r="BG514" s="197"/>
      <c r="BH514" s="197"/>
      <c r="BI514" s="197"/>
      <c r="BJ514" s="197"/>
      <c r="BK514" s="197"/>
      <c r="BL514" s="197"/>
      <c r="BM514" s="197"/>
      <c r="BN514" s="197"/>
      <c r="BO514" s="197"/>
      <c r="BP514" s="197"/>
      <c r="BQ514" s="197"/>
      <c r="BR514" s="197"/>
      <c r="BS514" s="197"/>
      <c r="BT514" s="197"/>
    </row>
    <row r="515">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c r="AA515" s="197"/>
      <c r="AB515" s="197"/>
      <c r="AC515" s="197"/>
      <c r="AD515" s="197"/>
      <c r="AE515" s="197"/>
      <c r="AF515" s="197"/>
      <c r="AG515" s="197"/>
      <c r="AH515" s="197"/>
      <c r="AI515" s="197"/>
      <c r="AJ515" s="197"/>
      <c r="AK515" s="197"/>
      <c r="AL515" s="197"/>
      <c r="AM515" s="197"/>
      <c r="AN515" s="197"/>
      <c r="AO515" s="197"/>
      <c r="AP515" s="197"/>
      <c r="AQ515" s="197"/>
      <c r="AR515" s="197"/>
      <c r="AS515" s="197"/>
      <c r="AT515" s="197"/>
      <c r="AU515" s="197"/>
      <c r="AV515" s="197"/>
      <c r="AW515" s="197"/>
      <c r="AX515" s="197"/>
      <c r="AY515" s="197"/>
      <c r="AZ515" s="197"/>
      <c r="BA515" s="197"/>
      <c r="BB515" s="197"/>
      <c r="BC515" s="197"/>
      <c r="BD515" s="197"/>
      <c r="BE515" s="197"/>
      <c r="BF515" s="197"/>
      <c r="BG515" s="197"/>
      <c r="BH515" s="197"/>
      <c r="BI515" s="197"/>
      <c r="BJ515" s="197"/>
      <c r="BK515" s="197"/>
      <c r="BL515" s="197"/>
      <c r="BM515" s="197"/>
      <c r="BN515" s="197"/>
      <c r="BO515" s="197"/>
      <c r="BP515" s="197"/>
      <c r="BQ515" s="197"/>
      <c r="BR515" s="197"/>
      <c r="BS515" s="197"/>
      <c r="BT515" s="197"/>
    </row>
    <row r="516">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c r="AA516" s="197"/>
      <c r="AB516" s="197"/>
      <c r="AC516" s="197"/>
      <c r="AD516" s="197"/>
      <c r="AE516" s="197"/>
      <c r="AF516" s="197"/>
      <c r="AG516" s="197"/>
      <c r="AH516" s="197"/>
      <c r="AI516" s="197"/>
      <c r="AJ516" s="197"/>
      <c r="AK516" s="197"/>
      <c r="AL516" s="197"/>
      <c r="AM516" s="197"/>
      <c r="AN516" s="197"/>
      <c r="AO516" s="197"/>
      <c r="AP516" s="197"/>
      <c r="AQ516" s="197"/>
      <c r="AR516" s="197"/>
      <c r="AS516" s="197"/>
      <c r="AT516" s="197"/>
      <c r="AU516" s="197"/>
      <c r="AV516" s="197"/>
      <c r="AW516" s="197"/>
      <c r="AX516" s="197"/>
      <c r="AY516" s="197"/>
      <c r="AZ516" s="197"/>
      <c r="BA516" s="197"/>
      <c r="BB516" s="197"/>
      <c r="BC516" s="197"/>
      <c r="BD516" s="197"/>
      <c r="BE516" s="197"/>
      <c r="BF516" s="197"/>
      <c r="BG516" s="197"/>
      <c r="BH516" s="197"/>
      <c r="BI516" s="197"/>
      <c r="BJ516" s="197"/>
      <c r="BK516" s="197"/>
      <c r="BL516" s="197"/>
      <c r="BM516" s="197"/>
      <c r="BN516" s="197"/>
      <c r="BO516" s="197"/>
      <c r="BP516" s="197"/>
      <c r="BQ516" s="197"/>
      <c r="BR516" s="197"/>
      <c r="BS516" s="197"/>
      <c r="BT516" s="197"/>
    </row>
    <row r="517">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c r="AA517" s="197"/>
      <c r="AB517" s="197"/>
      <c r="AC517" s="197"/>
      <c r="AD517" s="197"/>
      <c r="AE517" s="197"/>
      <c r="AF517" s="197"/>
      <c r="AG517" s="197"/>
      <c r="AH517" s="197"/>
      <c r="AI517" s="197"/>
      <c r="AJ517" s="197"/>
      <c r="AK517" s="197"/>
      <c r="AL517" s="197"/>
      <c r="AM517" s="197"/>
      <c r="AN517" s="197"/>
      <c r="AO517" s="197"/>
      <c r="AP517" s="197"/>
      <c r="AQ517" s="197"/>
      <c r="AR517" s="197"/>
      <c r="AS517" s="197"/>
      <c r="AT517" s="197"/>
      <c r="AU517" s="197"/>
      <c r="AV517" s="197"/>
      <c r="AW517" s="197"/>
      <c r="AX517" s="197"/>
      <c r="AY517" s="197"/>
      <c r="AZ517" s="197"/>
      <c r="BA517" s="197"/>
      <c r="BB517" s="197"/>
      <c r="BC517" s="197"/>
      <c r="BD517" s="197"/>
      <c r="BE517" s="197"/>
      <c r="BF517" s="197"/>
      <c r="BG517" s="197"/>
      <c r="BH517" s="197"/>
      <c r="BI517" s="197"/>
      <c r="BJ517" s="197"/>
      <c r="BK517" s="197"/>
      <c r="BL517" s="197"/>
      <c r="BM517" s="197"/>
      <c r="BN517" s="197"/>
      <c r="BO517" s="197"/>
      <c r="BP517" s="197"/>
      <c r="BQ517" s="197"/>
      <c r="BR517" s="197"/>
      <c r="BS517" s="197"/>
      <c r="BT517" s="197"/>
    </row>
    <row r="518">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c r="AA518" s="197"/>
      <c r="AB518" s="197"/>
      <c r="AC518" s="197"/>
      <c r="AD518" s="197"/>
      <c r="AE518" s="197"/>
      <c r="AF518" s="197"/>
      <c r="AG518" s="197"/>
      <c r="AH518" s="197"/>
      <c r="AI518" s="197"/>
      <c r="AJ518" s="197"/>
      <c r="AK518" s="197"/>
      <c r="AL518" s="197"/>
      <c r="AM518" s="197"/>
      <c r="AN518" s="197"/>
      <c r="AO518" s="197"/>
      <c r="AP518" s="197"/>
      <c r="AQ518" s="197"/>
      <c r="AR518" s="197"/>
      <c r="AS518" s="197"/>
      <c r="AT518" s="197"/>
      <c r="AU518" s="197"/>
      <c r="AV518" s="197"/>
      <c r="AW518" s="197"/>
      <c r="AX518" s="197"/>
      <c r="AY518" s="197"/>
      <c r="AZ518" s="197"/>
      <c r="BA518" s="197"/>
      <c r="BB518" s="197"/>
      <c r="BC518" s="197"/>
      <c r="BD518" s="197"/>
      <c r="BE518" s="197"/>
      <c r="BF518" s="197"/>
      <c r="BG518" s="197"/>
      <c r="BH518" s="197"/>
      <c r="BI518" s="197"/>
      <c r="BJ518" s="197"/>
      <c r="BK518" s="197"/>
      <c r="BL518" s="197"/>
      <c r="BM518" s="197"/>
      <c r="BN518" s="197"/>
      <c r="BO518" s="197"/>
      <c r="BP518" s="197"/>
      <c r="BQ518" s="197"/>
      <c r="BR518" s="197"/>
      <c r="BS518" s="197"/>
      <c r="BT518" s="197"/>
    </row>
    <row r="519">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c r="AA519" s="197"/>
      <c r="AB519" s="197"/>
      <c r="AC519" s="197"/>
      <c r="AD519" s="197"/>
      <c r="AE519" s="197"/>
      <c r="AF519" s="197"/>
      <c r="AG519" s="197"/>
      <c r="AH519" s="197"/>
      <c r="AI519" s="197"/>
      <c r="AJ519" s="197"/>
      <c r="AK519" s="197"/>
      <c r="AL519" s="197"/>
      <c r="AM519" s="197"/>
      <c r="AN519" s="197"/>
      <c r="AO519" s="197"/>
      <c r="AP519" s="197"/>
      <c r="AQ519" s="197"/>
      <c r="AR519" s="197"/>
      <c r="AS519" s="197"/>
      <c r="AT519" s="197"/>
      <c r="AU519" s="197"/>
      <c r="AV519" s="197"/>
      <c r="AW519" s="197"/>
      <c r="AX519" s="197"/>
      <c r="AY519" s="197"/>
      <c r="AZ519" s="197"/>
      <c r="BA519" s="197"/>
      <c r="BB519" s="197"/>
      <c r="BC519" s="197"/>
      <c r="BD519" s="197"/>
      <c r="BE519" s="197"/>
      <c r="BF519" s="197"/>
      <c r="BG519" s="197"/>
      <c r="BH519" s="197"/>
      <c r="BI519" s="197"/>
      <c r="BJ519" s="197"/>
      <c r="BK519" s="197"/>
      <c r="BL519" s="197"/>
      <c r="BM519" s="197"/>
      <c r="BN519" s="197"/>
      <c r="BO519" s="197"/>
      <c r="BP519" s="197"/>
      <c r="BQ519" s="197"/>
      <c r="BR519" s="197"/>
      <c r="BS519" s="197"/>
      <c r="BT519" s="197"/>
    </row>
    <row r="520">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c r="AA520" s="197"/>
      <c r="AB520" s="197"/>
      <c r="AC520" s="197"/>
      <c r="AD520" s="197"/>
      <c r="AE520" s="197"/>
      <c r="AF520" s="197"/>
      <c r="AG520" s="197"/>
      <c r="AH520" s="197"/>
      <c r="AI520" s="197"/>
      <c r="AJ520" s="197"/>
      <c r="AK520" s="197"/>
      <c r="AL520" s="197"/>
      <c r="AM520" s="197"/>
      <c r="AN520" s="197"/>
      <c r="AO520" s="197"/>
      <c r="AP520" s="197"/>
      <c r="AQ520" s="197"/>
      <c r="AR520" s="197"/>
      <c r="AS520" s="197"/>
      <c r="AT520" s="197"/>
      <c r="AU520" s="197"/>
      <c r="AV520" s="197"/>
      <c r="AW520" s="197"/>
      <c r="AX520" s="197"/>
      <c r="AY520" s="197"/>
      <c r="AZ520" s="197"/>
      <c r="BA520" s="197"/>
      <c r="BB520" s="197"/>
      <c r="BC520" s="197"/>
      <c r="BD520" s="197"/>
      <c r="BE520" s="197"/>
      <c r="BF520" s="197"/>
      <c r="BG520" s="197"/>
      <c r="BH520" s="197"/>
      <c r="BI520" s="197"/>
      <c r="BJ520" s="197"/>
      <c r="BK520" s="197"/>
      <c r="BL520" s="197"/>
      <c r="BM520" s="197"/>
      <c r="BN520" s="197"/>
      <c r="BO520" s="197"/>
      <c r="BP520" s="197"/>
      <c r="BQ520" s="197"/>
      <c r="BR520" s="197"/>
      <c r="BS520" s="197"/>
      <c r="BT520" s="197"/>
    </row>
    <row r="521">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c r="AA521" s="197"/>
      <c r="AB521" s="197"/>
      <c r="AC521" s="197"/>
      <c r="AD521" s="197"/>
      <c r="AE521" s="197"/>
      <c r="AF521" s="197"/>
      <c r="AG521" s="197"/>
      <c r="AH521" s="197"/>
      <c r="AI521" s="197"/>
      <c r="AJ521" s="197"/>
      <c r="AK521" s="197"/>
      <c r="AL521" s="197"/>
      <c r="AM521" s="197"/>
      <c r="AN521" s="197"/>
      <c r="AO521" s="197"/>
      <c r="AP521" s="197"/>
      <c r="AQ521" s="197"/>
      <c r="AR521" s="197"/>
      <c r="AS521" s="197"/>
      <c r="AT521" s="197"/>
      <c r="AU521" s="197"/>
      <c r="AV521" s="197"/>
      <c r="AW521" s="197"/>
      <c r="AX521" s="197"/>
      <c r="AY521" s="197"/>
      <c r="AZ521" s="197"/>
      <c r="BA521" s="197"/>
      <c r="BB521" s="197"/>
      <c r="BC521" s="197"/>
      <c r="BD521" s="197"/>
      <c r="BE521" s="197"/>
      <c r="BF521" s="197"/>
      <c r="BG521" s="197"/>
      <c r="BH521" s="197"/>
      <c r="BI521" s="197"/>
      <c r="BJ521" s="197"/>
      <c r="BK521" s="197"/>
      <c r="BL521" s="197"/>
      <c r="BM521" s="197"/>
      <c r="BN521" s="197"/>
      <c r="BO521" s="197"/>
      <c r="BP521" s="197"/>
      <c r="BQ521" s="197"/>
      <c r="BR521" s="197"/>
      <c r="BS521" s="197"/>
      <c r="BT521" s="197"/>
    </row>
    <row r="522">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c r="AA522" s="197"/>
      <c r="AB522" s="197"/>
      <c r="AC522" s="197"/>
      <c r="AD522" s="197"/>
      <c r="AE522" s="197"/>
      <c r="AF522" s="197"/>
      <c r="AG522" s="197"/>
      <c r="AH522" s="197"/>
      <c r="AI522" s="197"/>
      <c r="AJ522" s="197"/>
      <c r="AK522" s="197"/>
      <c r="AL522" s="197"/>
      <c r="AM522" s="197"/>
      <c r="AN522" s="197"/>
      <c r="AO522" s="197"/>
      <c r="AP522" s="197"/>
      <c r="AQ522" s="197"/>
      <c r="AR522" s="197"/>
      <c r="AS522" s="197"/>
      <c r="AT522" s="197"/>
      <c r="AU522" s="197"/>
      <c r="AV522" s="197"/>
      <c r="AW522" s="197"/>
      <c r="AX522" s="197"/>
      <c r="AY522" s="197"/>
      <c r="AZ522" s="197"/>
      <c r="BA522" s="197"/>
      <c r="BB522" s="197"/>
      <c r="BC522" s="197"/>
      <c r="BD522" s="197"/>
      <c r="BE522" s="197"/>
      <c r="BF522" s="197"/>
      <c r="BG522" s="197"/>
      <c r="BH522" s="197"/>
      <c r="BI522" s="197"/>
      <c r="BJ522" s="197"/>
      <c r="BK522" s="197"/>
      <c r="BL522" s="197"/>
      <c r="BM522" s="197"/>
      <c r="BN522" s="197"/>
      <c r="BO522" s="197"/>
      <c r="BP522" s="197"/>
      <c r="BQ522" s="197"/>
      <c r="BR522" s="197"/>
      <c r="BS522" s="197"/>
      <c r="BT522" s="197"/>
    </row>
    <row r="523">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c r="AA523" s="197"/>
      <c r="AB523" s="197"/>
      <c r="AC523" s="197"/>
      <c r="AD523" s="197"/>
      <c r="AE523" s="197"/>
      <c r="AF523" s="197"/>
      <c r="AG523" s="197"/>
      <c r="AH523" s="197"/>
      <c r="AI523" s="197"/>
      <c r="AJ523" s="197"/>
      <c r="AK523" s="197"/>
      <c r="AL523" s="197"/>
      <c r="AM523" s="197"/>
      <c r="AN523" s="197"/>
      <c r="AO523" s="197"/>
      <c r="AP523" s="197"/>
      <c r="AQ523" s="197"/>
      <c r="AR523" s="197"/>
      <c r="AS523" s="197"/>
      <c r="AT523" s="197"/>
      <c r="AU523" s="197"/>
      <c r="AV523" s="197"/>
      <c r="AW523" s="197"/>
      <c r="AX523" s="197"/>
      <c r="AY523" s="197"/>
      <c r="AZ523" s="197"/>
      <c r="BA523" s="197"/>
      <c r="BB523" s="197"/>
      <c r="BC523" s="197"/>
      <c r="BD523" s="197"/>
      <c r="BE523" s="197"/>
      <c r="BF523" s="197"/>
      <c r="BG523" s="197"/>
      <c r="BH523" s="197"/>
      <c r="BI523" s="197"/>
      <c r="BJ523" s="197"/>
      <c r="BK523" s="197"/>
      <c r="BL523" s="197"/>
      <c r="BM523" s="197"/>
      <c r="BN523" s="197"/>
      <c r="BO523" s="197"/>
      <c r="BP523" s="197"/>
      <c r="BQ523" s="197"/>
      <c r="BR523" s="197"/>
      <c r="BS523" s="197"/>
      <c r="BT523" s="197"/>
    </row>
    <row r="524">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c r="AA524" s="197"/>
      <c r="AB524" s="197"/>
      <c r="AC524" s="197"/>
      <c r="AD524" s="197"/>
      <c r="AE524" s="197"/>
      <c r="AF524" s="197"/>
      <c r="AG524" s="197"/>
      <c r="AH524" s="197"/>
      <c r="AI524" s="197"/>
      <c r="AJ524" s="197"/>
      <c r="AK524" s="197"/>
      <c r="AL524" s="197"/>
      <c r="AM524" s="197"/>
      <c r="AN524" s="197"/>
      <c r="AO524" s="197"/>
      <c r="AP524" s="197"/>
      <c r="AQ524" s="197"/>
      <c r="AR524" s="197"/>
      <c r="AS524" s="197"/>
      <c r="AT524" s="197"/>
      <c r="AU524" s="197"/>
      <c r="AV524" s="197"/>
      <c r="AW524" s="197"/>
      <c r="AX524" s="197"/>
      <c r="AY524" s="197"/>
      <c r="AZ524" s="197"/>
      <c r="BA524" s="197"/>
      <c r="BB524" s="197"/>
      <c r="BC524" s="197"/>
      <c r="BD524" s="197"/>
      <c r="BE524" s="197"/>
      <c r="BF524" s="197"/>
      <c r="BG524" s="197"/>
      <c r="BH524" s="197"/>
      <c r="BI524" s="197"/>
      <c r="BJ524" s="197"/>
      <c r="BK524" s="197"/>
      <c r="BL524" s="197"/>
      <c r="BM524" s="197"/>
      <c r="BN524" s="197"/>
      <c r="BO524" s="197"/>
      <c r="BP524" s="197"/>
      <c r="BQ524" s="197"/>
      <c r="BR524" s="197"/>
      <c r="BS524" s="197"/>
      <c r="BT524" s="197"/>
    </row>
    <row r="525">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c r="AA525" s="197"/>
      <c r="AB525" s="197"/>
      <c r="AC525" s="197"/>
      <c r="AD525" s="197"/>
      <c r="AE525" s="197"/>
      <c r="AF525" s="197"/>
      <c r="AG525" s="197"/>
      <c r="AH525" s="197"/>
      <c r="AI525" s="197"/>
      <c r="AJ525" s="197"/>
      <c r="AK525" s="197"/>
      <c r="AL525" s="197"/>
      <c r="AM525" s="197"/>
      <c r="AN525" s="197"/>
      <c r="AO525" s="197"/>
      <c r="AP525" s="197"/>
      <c r="AQ525" s="197"/>
      <c r="AR525" s="197"/>
      <c r="AS525" s="197"/>
      <c r="AT525" s="197"/>
      <c r="AU525" s="197"/>
      <c r="AV525" s="197"/>
      <c r="AW525" s="197"/>
      <c r="AX525" s="197"/>
      <c r="AY525" s="197"/>
      <c r="AZ525" s="197"/>
      <c r="BA525" s="197"/>
      <c r="BB525" s="197"/>
      <c r="BC525" s="197"/>
      <c r="BD525" s="197"/>
      <c r="BE525" s="197"/>
      <c r="BF525" s="197"/>
      <c r="BG525" s="197"/>
      <c r="BH525" s="197"/>
      <c r="BI525" s="197"/>
      <c r="BJ525" s="197"/>
      <c r="BK525" s="197"/>
      <c r="BL525" s="197"/>
      <c r="BM525" s="197"/>
      <c r="BN525" s="197"/>
      <c r="BO525" s="197"/>
      <c r="BP525" s="197"/>
      <c r="BQ525" s="197"/>
      <c r="BR525" s="197"/>
      <c r="BS525" s="197"/>
      <c r="BT525" s="197"/>
    </row>
    <row r="526">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c r="AA526" s="197"/>
      <c r="AB526" s="197"/>
      <c r="AC526" s="197"/>
      <c r="AD526" s="197"/>
      <c r="AE526" s="197"/>
      <c r="AF526" s="197"/>
      <c r="AG526" s="197"/>
      <c r="AH526" s="197"/>
      <c r="AI526" s="197"/>
      <c r="AJ526" s="197"/>
      <c r="AK526" s="197"/>
      <c r="AL526" s="197"/>
      <c r="AM526" s="197"/>
      <c r="AN526" s="197"/>
      <c r="AO526" s="197"/>
      <c r="AP526" s="197"/>
      <c r="AQ526" s="197"/>
      <c r="AR526" s="197"/>
      <c r="AS526" s="197"/>
      <c r="AT526" s="197"/>
      <c r="AU526" s="197"/>
      <c r="AV526" s="197"/>
      <c r="AW526" s="197"/>
      <c r="AX526" s="197"/>
      <c r="AY526" s="197"/>
      <c r="AZ526" s="197"/>
      <c r="BA526" s="197"/>
      <c r="BB526" s="197"/>
      <c r="BC526" s="197"/>
      <c r="BD526" s="197"/>
      <c r="BE526" s="197"/>
      <c r="BF526" s="197"/>
      <c r="BG526" s="197"/>
      <c r="BH526" s="197"/>
      <c r="BI526" s="197"/>
      <c r="BJ526" s="197"/>
      <c r="BK526" s="197"/>
      <c r="BL526" s="197"/>
      <c r="BM526" s="197"/>
      <c r="BN526" s="197"/>
      <c r="BO526" s="197"/>
      <c r="BP526" s="197"/>
      <c r="BQ526" s="197"/>
      <c r="BR526" s="197"/>
      <c r="BS526" s="197"/>
      <c r="BT526" s="197"/>
    </row>
    <row r="527">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c r="AA527" s="197"/>
      <c r="AB527" s="197"/>
      <c r="AC527" s="197"/>
      <c r="AD527" s="197"/>
      <c r="AE527" s="197"/>
      <c r="AF527" s="197"/>
      <c r="AG527" s="197"/>
      <c r="AH527" s="197"/>
      <c r="AI527" s="197"/>
      <c r="AJ527" s="197"/>
      <c r="AK527" s="197"/>
      <c r="AL527" s="197"/>
      <c r="AM527" s="197"/>
      <c r="AN527" s="197"/>
      <c r="AO527" s="197"/>
      <c r="AP527" s="197"/>
      <c r="AQ527" s="197"/>
      <c r="AR527" s="197"/>
      <c r="AS527" s="197"/>
      <c r="AT527" s="197"/>
      <c r="AU527" s="197"/>
      <c r="AV527" s="197"/>
      <c r="AW527" s="197"/>
      <c r="AX527" s="197"/>
      <c r="AY527" s="197"/>
      <c r="AZ527" s="197"/>
      <c r="BA527" s="197"/>
      <c r="BB527" s="197"/>
      <c r="BC527" s="197"/>
      <c r="BD527" s="197"/>
      <c r="BE527" s="197"/>
      <c r="BF527" s="197"/>
      <c r="BG527" s="197"/>
      <c r="BH527" s="197"/>
      <c r="BI527" s="197"/>
      <c r="BJ527" s="197"/>
      <c r="BK527" s="197"/>
      <c r="BL527" s="197"/>
      <c r="BM527" s="197"/>
      <c r="BN527" s="197"/>
      <c r="BO527" s="197"/>
      <c r="BP527" s="197"/>
      <c r="BQ527" s="197"/>
      <c r="BR527" s="197"/>
      <c r="BS527" s="197"/>
      <c r="BT527" s="197"/>
    </row>
    <row r="528">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c r="AA528" s="197"/>
      <c r="AB528" s="197"/>
      <c r="AC528" s="197"/>
      <c r="AD528" s="197"/>
      <c r="AE528" s="197"/>
      <c r="AF528" s="197"/>
      <c r="AG528" s="197"/>
      <c r="AH528" s="197"/>
      <c r="AI528" s="197"/>
      <c r="AJ528" s="197"/>
      <c r="AK528" s="197"/>
      <c r="AL528" s="197"/>
      <c r="AM528" s="197"/>
      <c r="AN528" s="197"/>
      <c r="AO528" s="197"/>
      <c r="AP528" s="197"/>
      <c r="AQ528" s="197"/>
      <c r="AR528" s="197"/>
      <c r="AS528" s="197"/>
      <c r="AT528" s="197"/>
      <c r="AU528" s="197"/>
      <c r="AV528" s="197"/>
      <c r="AW528" s="197"/>
      <c r="AX528" s="197"/>
      <c r="AY528" s="197"/>
      <c r="AZ528" s="197"/>
      <c r="BA528" s="197"/>
      <c r="BB528" s="197"/>
      <c r="BC528" s="197"/>
      <c r="BD528" s="197"/>
      <c r="BE528" s="197"/>
      <c r="BF528" s="197"/>
      <c r="BG528" s="197"/>
      <c r="BH528" s="197"/>
      <c r="BI528" s="197"/>
      <c r="BJ528" s="197"/>
      <c r="BK528" s="197"/>
      <c r="BL528" s="197"/>
      <c r="BM528" s="197"/>
      <c r="BN528" s="197"/>
      <c r="BO528" s="197"/>
      <c r="BP528" s="197"/>
      <c r="BQ528" s="197"/>
      <c r="BR528" s="197"/>
      <c r="BS528" s="197"/>
      <c r="BT528" s="197"/>
    </row>
    <row r="529">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c r="AA529" s="197"/>
      <c r="AB529" s="197"/>
      <c r="AC529" s="197"/>
      <c r="AD529" s="197"/>
      <c r="AE529" s="197"/>
      <c r="AF529" s="197"/>
      <c r="AG529" s="197"/>
      <c r="AH529" s="197"/>
      <c r="AI529" s="197"/>
      <c r="AJ529" s="197"/>
      <c r="AK529" s="197"/>
      <c r="AL529" s="197"/>
      <c r="AM529" s="197"/>
      <c r="AN529" s="197"/>
      <c r="AO529" s="197"/>
      <c r="AP529" s="197"/>
      <c r="AQ529" s="197"/>
      <c r="AR529" s="197"/>
      <c r="AS529" s="197"/>
      <c r="AT529" s="197"/>
      <c r="AU529" s="197"/>
      <c r="AV529" s="197"/>
      <c r="AW529" s="197"/>
      <c r="AX529" s="197"/>
      <c r="AY529" s="197"/>
      <c r="AZ529" s="197"/>
      <c r="BA529" s="197"/>
      <c r="BB529" s="197"/>
      <c r="BC529" s="197"/>
      <c r="BD529" s="197"/>
      <c r="BE529" s="197"/>
      <c r="BF529" s="197"/>
      <c r="BG529" s="197"/>
      <c r="BH529" s="197"/>
      <c r="BI529" s="197"/>
      <c r="BJ529" s="197"/>
      <c r="BK529" s="197"/>
      <c r="BL529" s="197"/>
      <c r="BM529" s="197"/>
      <c r="BN529" s="197"/>
      <c r="BO529" s="197"/>
      <c r="BP529" s="197"/>
      <c r="BQ529" s="197"/>
      <c r="BR529" s="197"/>
      <c r="BS529" s="197"/>
      <c r="BT529" s="197"/>
    </row>
    <row r="530">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c r="AA530" s="197"/>
      <c r="AB530" s="197"/>
      <c r="AC530" s="197"/>
      <c r="AD530" s="197"/>
      <c r="AE530" s="197"/>
      <c r="AF530" s="197"/>
      <c r="AG530" s="197"/>
      <c r="AH530" s="197"/>
      <c r="AI530" s="197"/>
      <c r="AJ530" s="197"/>
      <c r="AK530" s="197"/>
      <c r="AL530" s="197"/>
      <c r="AM530" s="197"/>
      <c r="AN530" s="197"/>
      <c r="AO530" s="197"/>
      <c r="AP530" s="197"/>
      <c r="AQ530" s="197"/>
      <c r="AR530" s="197"/>
      <c r="AS530" s="197"/>
      <c r="AT530" s="197"/>
      <c r="AU530" s="197"/>
      <c r="AV530" s="197"/>
      <c r="AW530" s="197"/>
      <c r="AX530" s="197"/>
      <c r="AY530" s="197"/>
      <c r="AZ530" s="197"/>
      <c r="BA530" s="197"/>
      <c r="BB530" s="197"/>
      <c r="BC530" s="197"/>
      <c r="BD530" s="197"/>
      <c r="BE530" s="197"/>
      <c r="BF530" s="197"/>
      <c r="BG530" s="197"/>
      <c r="BH530" s="197"/>
      <c r="BI530" s="197"/>
      <c r="BJ530" s="197"/>
      <c r="BK530" s="197"/>
      <c r="BL530" s="197"/>
      <c r="BM530" s="197"/>
      <c r="BN530" s="197"/>
      <c r="BO530" s="197"/>
      <c r="BP530" s="197"/>
      <c r="BQ530" s="197"/>
      <c r="BR530" s="197"/>
      <c r="BS530" s="197"/>
      <c r="BT530" s="197"/>
    </row>
    <row r="531">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c r="AA531" s="197"/>
      <c r="AB531" s="197"/>
      <c r="AC531" s="197"/>
      <c r="AD531" s="197"/>
      <c r="AE531" s="197"/>
      <c r="AF531" s="197"/>
      <c r="AG531" s="197"/>
      <c r="AH531" s="197"/>
      <c r="AI531" s="197"/>
      <c r="AJ531" s="197"/>
      <c r="AK531" s="197"/>
      <c r="AL531" s="197"/>
      <c r="AM531" s="197"/>
      <c r="AN531" s="197"/>
      <c r="AO531" s="197"/>
      <c r="AP531" s="197"/>
      <c r="AQ531" s="197"/>
      <c r="AR531" s="197"/>
      <c r="AS531" s="197"/>
      <c r="AT531" s="197"/>
      <c r="AU531" s="197"/>
      <c r="AV531" s="197"/>
      <c r="AW531" s="197"/>
      <c r="AX531" s="197"/>
      <c r="AY531" s="197"/>
      <c r="AZ531" s="197"/>
      <c r="BA531" s="197"/>
      <c r="BB531" s="197"/>
      <c r="BC531" s="197"/>
      <c r="BD531" s="197"/>
      <c r="BE531" s="197"/>
      <c r="BF531" s="197"/>
      <c r="BG531" s="197"/>
      <c r="BH531" s="197"/>
      <c r="BI531" s="197"/>
      <c r="BJ531" s="197"/>
      <c r="BK531" s="197"/>
      <c r="BL531" s="197"/>
      <c r="BM531" s="197"/>
      <c r="BN531" s="197"/>
      <c r="BO531" s="197"/>
      <c r="BP531" s="197"/>
      <c r="BQ531" s="197"/>
      <c r="BR531" s="197"/>
      <c r="BS531" s="197"/>
      <c r="BT531" s="197"/>
    </row>
    <row r="532">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c r="AA532" s="197"/>
      <c r="AB532" s="197"/>
      <c r="AC532" s="197"/>
      <c r="AD532" s="197"/>
      <c r="AE532" s="197"/>
      <c r="AF532" s="197"/>
      <c r="AG532" s="197"/>
      <c r="AH532" s="197"/>
      <c r="AI532" s="197"/>
      <c r="AJ532" s="197"/>
      <c r="AK532" s="197"/>
      <c r="AL532" s="197"/>
      <c r="AM532" s="197"/>
      <c r="AN532" s="197"/>
      <c r="AO532" s="197"/>
      <c r="AP532" s="197"/>
      <c r="AQ532" s="197"/>
      <c r="AR532" s="197"/>
      <c r="AS532" s="197"/>
      <c r="AT532" s="197"/>
      <c r="AU532" s="197"/>
      <c r="AV532" s="197"/>
      <c r="AW532" s="197"/>
      <c r="AX532" s="197"/>
      <c r="AY532" s="197"/>
      <c r="AZ532" s="197"/>
      <c r="BA532" s="197"/>
      <c r="BB532" s="197"/>
      <c r="BC532" s="197"/>
      <c r="BD532" s="197"/>
      <c r="BE532" s="197"/>
      <c r="BF532" s="197"/>
      <c r="BG532" s="197"/>
      <c r="BH532" s="197"/>
      <c r="BI532" s="197"/>
      <c r="BJ532" s="197"/>
      <c r="BK532" s="197"/>
      <c r="BL532" s="197"/>
      <c r="BM532" s="197"/>
      <c r="BN532" s="197"/>
      <c r="BO532" s="197"/>
      <c r="BP532" s="197"/>
      <c r="BQ532" s="197"/>
      <c r="BR532" s="197"/>
      <c r="BS532" s="197"/>
      <c r="BT532" s="197"/>
    </row>
    <row r="533">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c r="AA533" s="197"/>
      <c r="AB533" s="197"/>
      <c r="AC533" s="197"/>
      <c r="AD533" s="197"/>
      <c r="AE533" s="197"/>
      <c r="AF533" s="197"/>
      <c r="AG533" s="197"/>
      <c r="AH533" s="197"/>
      <c r="AI533" s="197"/>
      <c r="AJ533" s="197"/>
      <c r="AK533" s="197"/>
      <c r="AL533" s="197"/>
      <c r="AM533" s="197"/>
      <c r="AN533" s="197"/>
      <c r="AO533" s="197"/>
      <c r="AP533" s="197"/>
      <c r="AQ533" s="197"/>
      <c r="AR533" s="197"/>
      <c r="AS533" s="197"/>
      <c r="AT533" s="197"/>
      <c r="AU533" s="197"/>
      <c r="AV533" s="197"/>
      <c r="AW533" s="197"/>
      <c r="AX533" s="197"/>
      <c r="AY533" s="197"/>
      <c r="AZ533" s="197"/>
      <c r="BA533" s="197"/>
      <c r="BB533" s="197"/>
      <c r="BC533" s="197"/>
      <c r="BD533" s="197"/>
      <c r="BE533" s="197"/>
      <c r="BF533" s="197"/>
      <c r="BG533" s="197"/>
      <c r="BH533" s="197"/>
      <c r="BI533" s="197"/>
      <c r="BJ533" s="197"/>
      <c r="BK533" s="197"/>
      <c r="BL533" s="197"/>
      <c r="BM533" s="197"/>
      <c r="BN533" s="197"/>
      <c r="BO533" s="197"/>
      <c r="BP533" s="197"/>
      <c r="BQ533" s="197"/>
      <c r="BR533" s="197"/>
      <c r="BS533" s="197"/>
      <c r="BT533" s="197"/>
    </row>
    <row r="534">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c r="AA534" s="197"/>
      <c r="AB534" s="197"/>
      <c r="AC534" s="197"/>
      <c r="AD534" s="197"/>
      <c r="AE534" s="197"/>
      <c r="AF534" s="197"/>
      <c r="AG534" s="197"/>
      <c r="AH534" s="197"/>
      <c r="AI534" s="197"/>
      <c r="AJ534" s="197"/>
      <c r="AK534" s="197"/>
      <c r="AL534" s="197"/>
      <c r="AM534" s="197"/>
      <c r="AN534" s="197"/>
      <c r="AO534" s="197"/>
      <c r="AP534" s="197"/>
      <c r="AQ534" s="197"/>
      <c r="AR534" s="197"/>
      <c r="AS534" s="197"/>
      <c r="AT534" s="197"/>
      <c r="AU534" s="197"/>
      <c r="AV534" s="197"/>
      <c r="AW534" s="197"/>
      <c r="AX534" s="197"/>
      <c r="AY534" s="197"/>
      <c r="AZ534" s="197"/>
      <c r="BA534" s="197"/>
      <c r="BB534" s="197"/>
      <c r="BC534" s="197"/>
      <c r="BD534" s="197"/>
      <c r="BE534" s="197"/>
      <c r="BF534" s="197"/>
      <c r="BG534" s="197"/>
      <c r="BH534" s="197"/>
      <c r="BI534" s="197"/>
      <c r="BJ534" s="197"/>
      <c r="BK534" s="197"/>
      <c r="BL534" s="197"/>
      <c r="BM534" s="197"/>
      <c r="BN534" s="197"/>
      <c r="BO534" s="197"/>
      <c r="BP534" s="197"/>
      <c r="BQ534" s="197"/>
      <c r="BR534" s="197"/>
      <c r="BS534" s="197"/>
      <c r="BT534" s="197"/>
    </row>
    <row r="535">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c r="AA535" s="197"/>
      <c r="AB535" s="197"/>
      <c r="AC535" s="197"/>
      <c r="AD535" s="197"/>
      <c r="AE535" s="197"/>
      <c r="AF535" s="197"/>
      <c r="AG535" s="197"/>
      <c r="AH535" s="197"/>
      <c r="AI535" s="197"/>
      <c r="AJ535" s="197"/>
      <c r="AK535" s="197"/>
      <c r="AL535" s="197"/>
      <c r="AM535" s="197"/>
      <c r="AN535" s="197"/>
      <c r="AO535" s="197"/>
      <c r="AP535" s="197"/>
      <c r="AQ535" s="197"/>
      <c r="AR535" s="197"/>
      <c r="AS535" s="197"/>
      <c r="AT535" s="197"/>
      <c r="AU535" s="197"/>
      <c r="AV535" s="197"/>
      <c r="AW535" s="197"/>
      <c r="AX535" s="197"/>
      <c r="AY535" s="197"/>
      <c r="AZ535" s="197"/>
      <c r="BA535" s="197"/>
      <c r="BB535" s="197"/>
      <c r="BC535" s="197"/>
      <c r="BD535" s="197"/>
      <c r="BE535" s="197"/>
      <c r="BF535" s="197"/>
      <c r="BG535" s="197"/>
      <c r="BH535" s="197"/>
      <c r="BI535" s="197"/>
      <c r="BJ535" s="197"/>
      <c r="BK535" s="197"/>
      <c r="BL535" s="197"/>
      <c r="BM535" s="197"/>
      <c r="BN535" s="197"/>
      <c r="BO535" s="197"/>
      <c r="BP535" s="197"/>
      <c r="BQ535" s="197"/>
      <c r="BR535" s="197"/>
      <c r="BS535" s="197"/>
      <c r="BT535" s="197"/>
    </row>
    <row r="536">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c r="AA536" s="197"/>
      <c r="AB536" s="197"/>
      <c r="AC536" s="197"/>
      <c r="AD536" s="197"/>
      <c r="AE536" s="197"/>
      <c r="AF536" s="197"/>
      <c r="AG536" s="197"/>
      <c r="AH536" s="197"/>
      <c r="AI536" s="197"/>
      <c r="AJ536" s="197"/>
      <c r="AK536" s="197"/>
      <c r="AL536" s="197"/>
      <c r="AM536" s="197"/>
      <c r="AN536" s="197"/>
      <c r="AO536" s="197"/>
      <c r="AP536" s="197"/>
      <c r="AQ536" s="197"/>
      <c r="AR536" s="197"/>
      <c r="AS536" s="197"/>
      <c r="AT536" s="197"/>
      <c r="AU536" s="197"/>
      <c r="AV536" s="197"/>
      <c r="AW536" s="197"/>
      <c r="AX536" s="197"/>
      <c r="AY536" s="197"/>
      <c r="AZ536" s="197"/>
      <c r="BA536" s="197"/>
      <c r="BB536" s="197"/>
      <c r="BC536" s="197"/>
      <c r="BD536" s="197"/>
      <c r="BE536" s="197"/>
      <c r="BF536" s="197"/>
      <c r="BG536" s="197"/>
      <c r="BH536" s="197"/>
      <c r="BI536" s="197"/>
      <c r="BJ536" s="197"/>
      <c r="BK536" s="197"/>
      <c r="BL536" s="197"/>
      <c r="BM536" s="197"/>
      <c r="BN536" s="197"/>
      <c r="BO536" s="197"/>
      <c r="BP536" s="197"/>
      <c r="BQ536" s="197"/>
      <c r="BR536" s="197"/>
      <c r="BS536" s="197"/>
      <c r="BT536" s="197"/>
    </row>
    <row r="537">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c r="AA537" s="197"/>
      <c r="AB537" s="197"/>
      <c r="AC537" s="197"/>
      <c r="AD537" s="197"/>
      <c r="AE537" s="197"/>
      <c r="AF537" s="197"/>
      <c r="AG537" s="197"/>
      <c r="AH537" s="197"/>
      <c r="AI537" s="197"/>
      <c r="AJ537" s="197"/>
      <c r="AK537" s="197"/>
      <c r="AL537" s="197"/>
      <c r="AM537" s="197"/>
      <c r="AN537" s="197"/>
      <c r="AO537" s="197"/>
      <c r="AP537" s="197"/>
      <c r="AQ537" s="197"/>
      <c r="AR537" s="197"/>
      <c r="AS537" s="197"/>
      <c r="AT537" s="197"/>
      <c r="AU537" s="197"/>
      <c r="AV537" s="197"/>
      <c r="AW537" s="197"/>
      <c r="AX537" s="197"/>
      <c r="AY537" s="197"/>
      <c r="AZ537" s="197"/>
      <c r="BA537" s="197"/>
      <c r="BB537" s="197"/>
      <c r="BC537" s="197"/>
      <c r="BD537" s="197"/>
      <c r="BE537" s="197"/>
      <c r="BF537" s="197"/>
      <c r="BG537" s="197"/>
      <c r="BH537" s="197"/>
      <c r="BI537" s="197"/>
      <c r="BJ537" s="197"/>
      <c r="BK537" s="197"/>
      <c r="BL537" s="197"/>
      <c r="BM537" s="197"/>
      <c r="BN537" s="197"/>
      <c r="BO537" s="197"/>
      <c r="BP537" s="197"/>
      <c r="BQ537" s="197"/>
      <c r="BR537" s="197"/>
      <c r="BS537" s="197"/>
      <c r="BT537" s="197"/>
    </row>
    <row r="538">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c r="AA538" s="197"/>
      <c r="AB538" s="197"/>
      <c r="AC538" s="197"/>
      <c r="AD538" s="197"/>
      <c r="AE538" s="197"/>
      <c r="AF538" s="197"/>
      <c r="AG538" s="197"/>
      <c r="AH538" s="197"/>
      <c r="AI538" s="197"/>
      <c r="AJ538" s="197"/>
      <c r="AK538" s="197"/>
      <c r="AL538" s="197"/>
      <c r="AM538" s="197"/>
      <c r="AN538" s="197"/>
      <c r="AO538" s="197"/>
      <c r="AP538" s="197"/>
      <c r="AQ538" s="197"/>
      <c r="AR538" s="197"/>
      <c r="AS538" s="197"/>
      <c r="AT538" s="197"/>
      <c r="AU538" s="197"/>
      <c r="AV538" s="197"/>
      <c r="AW538" s="197"/>
      <c r="AX538" s="197"/>
      <c r="AY538" s="197"/>
      <c r="AZ538" s="197"/>
      <c r="BA538" s="197"/>
      <c r="BB538" s="197"/>
      <c r="BC538" s="197"/>
      <c r="BD538" s="197"/>
      <c r="BE538" s="197"/>
      <c r="BF538" s="197"/>
      <c r="BG538" s="197"/>
      <c r="BH538" s="197"/>
      <c r="BI538" s="197"/>
      <c r="BJ538" s="197"/>
      <c r="BK538" s="197"/>
      <c r="BL538" s="197"/>
      <c r="BM538" s="197"/>
      <c r="BN538" s="197"/>
      <c r="BO538" s="197"/>
      <c r="BP538" s="197"/>
      <c r="BQ538" s="197"/>
      <c r="BR538" s="197"/>
      <c r="BS538" s="197"/>
      <c r="BT538" s="197"/>
    </row>
    <row r="539">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c r="AA539" s="197"/>
      <c r="AB539" s="197"/>
      <c r="AC539" s="197"/>
      <c r="AD539" s="197"/>
      <c r="AE539" s="197"/>
      <c r="AF539" s="197"/>
      <c r="AG539" s="197"/>
      <c r="AH539" s="197"/>
      <c r="AI539" s="197"/>
      <c r="AJ539" s="197"/>
      <c r="AK539" s="197"/>
      <c r="AL539" s="197"/>
      <c r="AM539" s="197"/>
      <c r="AN539" s="197"/>
      <c r="AO539" s="197"/>
      <c r="AP539" s="197"/>
      <c r="AQ539" s="197"/>
      <c r="AR539" s="197"/>
      <c r="AS539" s="197"/>
      <c r="AT539" s="197"/>
      <c r="AU539" s="197"/>
      <c r="AV539" s="197"/>
      <c r="AW539" s="197"/>
      <c r="AX539" s="197"/>
      <c r="AY539" s="197"/>
      <c r="AZ539" s="197"/>
      <c r="BA539" s="197"/>
      <c r="BB539" s="197"/>
      <c r="BC539" s="197"/>
      <c r="BD539" s="197"/>
      <c r="BE539" s="197"/>
      <c r="BF539" s="197"/>
      <c r="BG539" s="197"/>
      <c r="BH539" s="197"/>
      <c r="BI539" s="197"/>
      <c r="BJ539" s="197"/>
      <c r="BK539" s="197"/>
      <c r="BL539" s="197"/>
      <c r="BM539" s="197"/>
      <c r="BN539" s="197"/>
      <c r="BO539" s="197"/>
      <c r="BP539" s="197"/>
      <c r="BQ539" s="197"/>
      <c r="BR539" s="197"/>
      <c r="BS539" s="197"/>
      <c r="BT539" s="197"/>
    </row>
    <row r="540">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c r="AA540" s="197"/>
      <c r="AB540" s="197"/>
      <c r="AC540" s="197"/>
      <c r="AD540" s="197"/>
      <c r="AE540" s="197"/>
      <c r="AF540" s="197"/>
      <c r="AG540" s="197"/>
      <c r="AH540" s="197"/>
      <c r="AI540" s="197"/>
      <c r="AJ540" s="197"/>
      <c r="AK540" s="197"/>
      <c r="AL540" s="197"/>
      <c r="AM540" s="197"/>
      <c r="AN540" s="197"/>
      <c r="AO540" s="197"/>
      <c r="AP540" s="197"/>
      <c r="AQ540" s="197"/>
      <c r="AR540" s="197"/>
      <c r="AS540" s="197"/>
      <c r="AT540" s="197"/>
      <c r="AU540" s="197"/>
      <c r="AV540" s="197"/>
      <c r="AW540" s="197"/>
      <c r="AX540" s="197"/>
      <c r="AY540" s="197"/>
      <c r="AZ540" s="197"/>
      <c r="BA540" s="197"/>
      <c r="BB540" s="197"/>
      <c r="BC540" s="197"/>
      <c r="BD540" s="197"/>
      <c r="BE540" s="197"/>
      <c r="BF540" s="197"/>
      <c r="BG540" s="197"/>
      <c r="BH540" s="197"/>
      <c r="BI540" s="197"/>
      <c r="BJ540" s="197"/>
      <c r="BK540" s="197"/>
      <c r="BL540" s="197"/>
      <c r="BM540" s="197"/>
      <c r="BN540" s="197"/>
      <c r="BO540" s="197"/>
      <c r="BP540" s="197"/>
      <c r="BQ540" s="197"/>
      <c r="BR540" s="197"/>
      <c r="BS540" s="197"/>
      <c r="BT540" s="197"/>
    </row>
    <row r="541">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c r="AA541" s="197"/>
      <c r="AB541" s="197"/>
      <c r="AC541" s="197"/>
      <c r="AD541" s="197"/>
      <c r="AE541" s="197"/>
      <c r="AF541" s="197"/>
      <c r="AG541" s="197"/>
      <c r="AH541" s="197"/>
      <c r="AI541" s="197"/>
      <c r="AJ541" s="197"/>
      <c r="AK541" s="197"/>
      <c r="AL541" s="197"/>
      <c r="AM541" s="197"/>
      <c r="AN541" s="197"/>
      <c r="AO541" s="197"/>
      <c r="AP541" s="197"/>
      <c r="AQ541" s="197"/>
      <c r="AR541" s="197"/>
      <c r="AS541" s="197"/>
      <c r="AT541" s="197"/>
      <c r="AU541" s="197"/>
      <c r="AV541" s="197"/>
      <c r="AW541" s="197"/>
      <c r="AX541" s="197"/>
      <c r="AY541" s="197"/>
      <c r="AZ541" s="197"/>
      <c r="BA541" s="197"/>
      <c r="BB541" s="197"/>
      <c r="BC541" s="197"/>
      <c r="BD541" s="197"/>
      <c r="BE541" s="197"/>
      <c r="BF541" s="197"/>
      <c r="BG541" s="197"/>
      <c r="BH541" s="197"/>
      <c r="BI541" s="197"/>
      <c r="BJ541" s="197"/>
      <c r="BK541" s="197"/>
      <c r="BL541" s="197"/>
      <c r="BM541" s="197"/>
      <c r="BN541" s="197"/>
      <c r="BO541" s="197"/>
      <c r="BP541" s="197"/>
      <c r="BQ541" s="197"/>
      <c r="BR541" s="197"/>
      <c r="BS541" s="197"/>
      <c r="BT541" s="197"/>
    </row>
    <row r="542">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c r="AA542" s="197"/>
      <c r="AB542" s="197"/>
      <c r="AC542" s="197"/>
      <c r="AD542" s="197"/>
      <c r="AE542" s="197"/>
      <c r="AF542" s="197"/>
      <c r="AG542" s="197"/>
      <c r="AH542" s="197"/>
      <c r="AI542" s="197"/>
      <c r="AJ542" s="197"/>
      <c r="AK542" s="197"/>
      <c r="AL542" s="197"/>
      <c r="AM542" s="197"/>
      <c r="AN542" s="197"/>
      <c r="AO542" s="197"/>
      <c r="AP542" s="197"/>
      <c r="AQ542" s="197"/>
      <c r="AR542" s="197"/>
      <c r="AS542" s="197"/>
      <c r="AT542" s="197"/>
      <c r="AU542" s="197"/>
      <c r="AV542" s="197"/>
      <c r="AW542" s="197"/>
      <c r="AX542" s="197"/>
      <c r="AY542" s="197"/>
      <c r="AZ542" s="197"/>
      <c r="BA542" s="197"/>
      <c r="BB542" s="197"/>
      <c r="BC542" s="197"/>
      <c r="BD542" s="197"/>
      <c r="BE542" s="197"/>
      <c r="BF542" s="197"/>
      <c r="BG542" s="197"/>
      <c r="BH542" s="197"/>
      <c r="BI542" s="197"/>
      <c r="BJ542" s="197"/>
      <c r="BK542" s="197"/>
      <c r="BL542" s="197"/>
      <c r="BM542" s="197"/>
      <c r="BN542" s="197"/>
      <c r="BO542" s="197"/>
      <c r="BP542" s="197"/>
      <c r="BQ542" s="197"/>
      <c r="BR542" s="197"/>
      <c r="BS542" s="197"/>
      <c r="BT542" s="197"/>
    </row>
    <row r="543">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c r="AA543" s="197"/>
      <c r="AB543" s="197"/>
      <c r="AC543" s="197"/>
      <c r="AD543" s="197"/>
      <c r="AE543" s="197"/>
      <c r="AF543" s="197"/>
      <c r="AG543" s="197"/>
      <c r="AH543" s="197"/>
      <c r="AI543" s="197"/>
      <c r="AJ543" s="197"/>
      <c r="AK543" s="197"/>
      <c r="AL543" s="197"/>
      <c r="AM543" s="197"/>
      <c r="AN543" s="197"/>
      <c r="AO543" s="197"/>
      <c r="AP543" s="197"/>
      <c r="AQ543" s="197"/>
      <c r="AR543" s="197"/>
      <c r="AS543" s="197"/>
      <c r="AT543" s="197"/>
      <c r="AU543" s="197"/>
      <c r="AV543" s="197"/>
      <c r="AW543" s="197"/>
      <c r="AX543" s="197"/>
      <c r="AY543" s="197"/>
      <c r="AZ543" s="197"/>
      <c r="BA543" s="197"/>
      <c r="BB543" s="197"/>
      <c r="BC543" s="197"/>
      <c r="BD543" s="197"/>
      <c r="BE543" s="197"/>
      <c r="BF543" s="197"/>
      <c r="BG543" s="197"/>
      <c r="BH543" s="197"/>
      <c r="BI543" s="197"/>
      <c r="BJ543" s="197"/>
      <c r="BK543" s="197"/>
      <c r="BL543" s="197"/>
      <c r="BM543" s="197"/>
      <c r="BN543" s="197"/>
      <c r="BO543" s="197"/>
      <c r="BP543" s="197"/>
      <c r="BQ543" s="197"/>
      <c r="BR543" s="197"/>
      <c r="BS543" s="197"/>
      <c r="BT543" s="197"/>
    </row>
    <row r="544">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c r="AA544" s="197"/>
      <c r="AB544" s="197"/>
      <c r="AC544" s="197"/>
      <c r="AD544" s="197"/>
      <c r="AE544" s="197"/>
      <c r="AF544" s="197"/>
      <c r="AG544" s="197"/>
      <c r="AH544" s="197"/>
      <c r="AI544" s="197"/>
      <c r="AJ544" s="197"/>
      <c r="AK544" s="197"/>
      <c r="AL544" s="197"/>
      <c r="AM544" s="197"/>
      <c r="AN544" s="197"/>
      <c r="AO544" s="197"/>
      <c r="AP544" s="197"/>
      <c r="AQ544" s="197"/>
      <c r="AR544" s="197"/>
      <c r="AS544" s="197"/>
      <c r="AT544" s="197"/>
      <c r="AU544" s="197"/>
      <c r="AV544" s="197"/>
      <c r="AW544" s="197"/>
      <c r="AX544" s="197"/>
      <c r="AY544" s="197"/>
      <c r="AZ544" s="197"/>
      <c r="BA544" s="197"/>
      <c r="BB544" s="197"/>
      <c r="BC544" s="197"/>
      <c r="BD544" s="197"/>
      <c r="BE544" s="197"/>
      <c r="BF544" s="197"/>
      <c r="BG544" s="197"/>
      <c r="BH544" s="197"/>
      <c r="BI544" s="197"/>
      <c r="BJ544" s="197"/>
      <c r="BK544" s="197"/>
      <c r="BL544" s="197"/>
      <c r="BM544" s="197"/>
      <c r="BN544" s="197"/>
      <c r="BO544" s="197"/>
      <c r="BP544" s="197"/>
      <c r="BQ544" s="197"/>
      <c r="BR544" s="197"/>
      <c r="BS544" s="197"/>
      <c r="BT544" s="197"/>
    </row>
    <row r="545">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c r="AA545" s="197"/>
      <c r="AB545" s="197"/>
      <c r="AC545" s="197"/>
      <c r="AD545" s="197"/>
      <c r="AE545" s="197"/>
      <c r="AF545" s="197"/>
      <c r="AG545" s="197"/>
      <c r="AH545" s="197"/>
      <c r="AI545" s="197"/>
      <c r="AJ545" s="197"/>
      <c r="AK545" s="197"/>
      <c r="AL545" s="197"/>
      <c r="AM545" s="197"/>
      <c r="AN545" s="197"/>
      <c r="AO545" s="197"/>
      <c r="AP545" s="197"/>
      <c r="AQ545" s="197"/>
      <c r="AR545" s="197"/>
      <c r="AS545" s="197"/>
      <c r="AT545" s="197"/>
      <c r="AU545" s="197"/>
      <c r="AV545" s="197"/>
      <c r="AW545" s="197"/>
      <c r="AX545" s="197"/>
      <c r="AY545" s="197"/>
      <c r="AZ545" s="197"/>
      <c r="BA545" s="197"/>
      <c r="BB545" s="197"/>
      <c r="BC545" s="197"/>
      <c r="BD545" s="197"/>
      <c r="BE545" s="197"/>
      <c r="BF545" s="197"/>
      <c r="BG545" s="197"/>
      <c r="BH545" s="197"/>
      <c r="BI545" s="197"/>
      <c r="BJ545" s="197"/>
      <c r="BK545" s="197"/>
      <c r="BL545" s="197"/>
      <c r="BM545" s="197"/>
      <c r="BN545" s="197"/>
      <c r="BO545" s="197"/>
      <c r="BP545" s="197"/>
      <c r="BQ545" s="197"/>
      <c r="BR545" s="197"/>
      <c r="BS545" s="197"/>
      <c r="BT545" s="197"/>
    </row>
    <row r="546">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c r="AA546" s="197"/>
      <c r="AB546" s="197"/>
      <c r="AC546" s="197"/>
      <c r="AD546" s="197"/>
      <c r="AE546" s="197"/>
      <c r="AF546" s="197"/>
      <c r="AG546" s="197"/>
      <c r="AH546" s="197"/>
      <c r="AI546" s="197"/>
      <c r="AJ546" s="197"/>
      <c r="AK546" s="197"/>
      <c r="AL546" s="197"/>
      <c r="AM546" s="197"/>
      <c r="AN546" s="197"/>
      <c r="AO546" s="197"/>
      <c r="AP546" s="197"/>
      <c r="AQ546" s="197"/>
      <c r="AR546" s="197"/>
      <c r="AS546" s="197"/>
      <c r="AT546" s="197"/>
      <c r="AU546" s="197"/>
      <c r="AV546" s="197"/>
      <c r="AW546" s="197"/>
      <c r="AX546" s="197"/>
      <c r="AY546" s="197"/>
      <c r="AZ546" s="197"/>
      <c r="BA546" s="197"/>
      <c r="BB546" s="197"/>
      <c r="BC546" s="197"/>
      <c r="BD546" s="197"/>
      <c r="BE546" s="197"/>
      <c r="BF546" s="197"/>
      <c r="BG546" s="197"/>
      <c r="BH546" s="197"/>
      <c r="BI546" s="197"/>
      <c r="BJ546" s="197"/>
      <c r="BK546" s="197"/>
      <c r="BL546" s="197"/>
      <c r="BM546" s="197"/>
      <c r="BN546" s="197"/>
      <c r="BO546" s="197"/>
      <c r="BP546" s="197"/>
      <c r="BQ546" s="197"/>
      <c r="BR546" s="197"/>
      <c r="BS546" s="197"/>
      <c r="BT546" s="197"/>
    </row>
    <row r="547">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c r="AA547" s="197"/>
      <c r="AB547" s="197"/>
      <c r="AC547" s="197"/>
      <c r="AD547" s="197"/>
      <c r="AE547" s="197"/>
      <c r="AF547" s="197"/>
      <c r="AG547" s="197"/>
      <c r="AH547" s="197"/>
      <c r="AI547" s="197"/>
      <c r="AJ547" s="197"/>
      <c r="AK547" s="197"/>
      <c r="AL547" s="197"/>
      <c r="AM547" s="197"/>
      <c r="AN547" s="197"/>
      <c r="AO547" s="197"/>
      <c r="AP547" s="197"/>
      <c r="AQ547" s="197"/>
      <c r="AR547" s="197"/>
      <c r="AS547" s="197"/>
      <c r="AT547" s="197"/>
      <c r="AU547" s="197"/>
      <c r="AV547" s="197"/>
      <c r="AW547" s="197"/>
      <c r="AX547" s="197"/>
      <c r="AY547" s="197"/>
      <c r="AZ547" s="197"/>
      <c r="BA547" s="197"/>
      <c r="BB547" s="197"/>
      <c r="BC547" s="197"/>
      <c r="BD547" s="197"/>
      <c r="BE547" s="197"/>
      <c r="BF547" s="197"/>
      <c r="BG547" s="197"/>
      <c r="BH547" s="197"/>
      <c r="BI547" s="197"/>
      <c r="BJ547" s="197"/>
      <c r="BK547" s="197"/>
      <c r="BL547" s="197"/>
      <c r="BM547" s="197"/>
      <c r="BN547" s="197"/>
      <c r="BO547" s="197"/>
      <c r="BP547" s="197"/>
      <c r="BQ547" s="197"/>
      <c r="BR547" s="197"/>
      <c r="BS547" s="197"/>
      <c r="BT547" s="197"/>
    </row>
    <row r="548">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c r="AA548" s="197"/>
      <c r="AB548" s="197"/>
      <c r="AC548" s="197"/>
      <c r="AD548" s="197"/>
      <c r="AE548" s="197"/>
      <c r="AF548" s="197"/>
      <c r="AG548" s="197"/>
      <c r="AH548" s="197"/>
      <c r="AI548" s="197"/>
      <c r="AJ548" s="197"/>
      <c r="AK548" s="197"/>
      <c r="AL548" s="197"/>
      <c r="AM548" s="197"/>
      <c r="AN548" s="197"/>
      <c r="AO548" s="197"/>
      <c r="AP548" s="197"/>
      <c r="AQ548" s="197"/>
      <c r="AR548" s="197"/>
      <c r="AS548" s="197"/>
      <c r="AT548" s="197"/>
      <c r="AU548" s="197"/>
      <c r="AV548" s="197"/>
      <c r="AW548" s="197"/>
      <c r="AX548" s="197"/>
      <c r="AY548" s="197"/>
      <c r="AZ548" s="197"/>
      <c r="BA548" s="197"/>
      <c r="BB548" s="197"/>
      <c r="BC548" s="197"/>
      <c r="BD548" s="197"/>
      <c r="BE548" s="197"/>
      <c r="BF548" s="197"/>
      <c r="BG548" s="197"/>
      <c r="BH548" s="197"/>
      <c r="BI548" s="197"/>
      <c r="BJ548" s="197"/>
      <c r="BK548" s="197"/>
      <c r="BL548" s="197"/>
      <c r="BM548" s="197"/>
      <c r="BN548" s="197"/>
      <c r="BO548" s="197"/>
      <c r="BP548" s="197"/>
      <c r="BQ548" s="197"/>
      <c r="BR548" s="197"/>
      <c r="BS548" s="197"/>
      <c r="BT548" s="197"/>
    </row>
    <row r="549">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c r="AA549" s="197"/>
      <c r="AB549" s="197"/>
      <c r="AC549" s="197"/>
      <c r="AD549" s="197"/>
      <c r="AE549" s="197"/>
      <c r="AF549" s="197"/>
      <c r="AG549" s="197"/>
      <c r="AH549" s="197"/>
      <c r="AI549" s="197"/>
      <c r="AJ549" s="197"/>
      <c r="AK549" s="197"/>
      <c r="AL549" s="197"/>
      <c r="AM549" s="197"/>
      <c r="AN549" s="197"/>
      <c r="AO549" s="197"/>
      <c r="AP549" s="197"/>
      <c r="AQ549" s="197"/>
      <c r="AR549" s="197"/>
      <c r="AS549" s="197"/>
      <c r="AT549" s="197"/>
      <c r="AU549" s="197"/>
      <c r="AV549" s="197"/>
      <c r="AW549" s="197"/>
      <c r="AX549" s="197"/>
      <c r="AY549" s="197"/>
      <c r="AZ549" s="197"/>
      <c r="BA549" s="197"/>
      <c r="BB549" s="197"/>
      <c r="BC549" s="197"/>
      <c r="BD549" s="197"/>
      <c r="BE549" s="197"/>
      <c r="BF549" s="197"/>
      <c r="BG549" s="197"/>
      <c r="BH549" s="197"/>
      <c r="BI549" s="197"/>
      <c r="BJ549" s="197"/>
      <c r="BK549" s="197"/>
      <c r="BL549" s="197"/>
      <c r="BM549" s="197"/>
      <c r="BN549" s="197"/>
      <c r="BO549" s="197"/>
      <c r="BP549" s="197"/>
      <c r="BQ549" s="197"/>
      <c r="BR549" s="197"/>
      <c r="BS549" s="197"/>
      <c r="BT549" s="197"/>
    </row>
    <row r="550">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c r="AA550" s="197"/>
      <c r="AB550" s="197"/>
      <c r="AC550" s="197"/>
      <c r="AD550" s="197"/>
      <c r="AE550" s="197"/>
      <c r="AF550" s="197"/>
      <c r="AG550" s="197"/>
      <c r="AH550" s="197"/>
      <c r="AI550" s="197"/>
      <c r="AJ550" s="197"/>
      <c r="AK550" s="197"/>
      <c r="AL550" s="197"/>
      <c r="AM550" s="197"/>
      <c r="AN550" s="197"/>
      <c r="AO550" s="197"/>
      <c r="AP550" s="197"/>
      <c r="AQ550" s="197"/>
      <c r="AR550" s="197"/>
      <c r="AS550" s="197"/>
      <c r="AT550" s="197"/>
      <c r="AU550" s="197"/>
      <c r="AV550" s="197"/>
      <c r="AW550" s="197"/>
      <c r="AX550" s="197"/>
      <c r="AY550" s="197"/>
      <c r="AZ550" s="197"/>
      <c r="BA550" s="197"/>
      <c r="BB550" s="197"/>
      <c r="BC550" s="197"/>
      <c r="BD550" s="197"/>
      <c r="BE550" s="197"/>
      <c r="BF550" s="197"/>
      <c r="BG550" s="197"/>
      <c r="BH550" s="197"/>
      <c r="BI550" s="197"/>
      <c r="BJ550" s="197"/>
      <c r="BK550" s="197"/>
      <c r="BL550" s="197"/>
      <c r="BM550" s="197"/>
      <c r="BN550" s="197"/>
      <c r="BO550" s="197"/>
      <c r="BP550" s="197"/>
      <c r="BQ550" s="197"/>
      <c r="BR550" s="197"/>
      <c r="BS550" s="197"/>
      <c r="BT550" s="197"/>
    </row>
    <row r="551">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c r="AA551" s="197"/>
      <c r="AB551" s="197"/>
      <c r="AC551" s="197"/>
      <c r="AD551" s="197"/>
      <c r="AE551" s="197"/>
      <c r="AF551" s="197"/>
      <c r="AG551" s="197"/>
      <c r="AH551" s="197"/>
      <c r="AI551" s="197"/>
      <c r="AJ551" s="197"/>
      <c r="AK551" s="197"/>
      <c r="AL551" s="197"/>
      <c r="AM551" s="197"/>
      <c r="AN551" s="197"/>
      <c r="AO551" s="197"/>
      <c r="AP551" s="197"/>
      <c r="AQ551" s="197"/>
      <c r="AR551" s="197"/>
      <c r="AS551" s="197"/>
      <c r="AT551" s="197"/>
      <c r="AU551" s="197"/>
      <c r="AV551" s="197"/>
      <c r="AW551" s="197"/>
      <c r="AX551" s="197"/>
      <c r="AY551" s="197"/>
      <c r="AZ551" s="197"/>
      <c r="BA551" s="197"/>
      <c r="BB551" s="197"/>
      <c r="BC551" s="197"/>
      <c r="BD551" s="197"/>
      <c r="BE551" s="197"/>
      <c r="BF551" s="197"/>
      <c r="BG551" s="197"/>
      <c r="BH551" s="197"/>
      <c r="BI551" s="197"/>
      <c r="BJ551" s="197"/>
      <c r="BK551" s="197"/>
      <c r="BL551" s="197"/>
      <c r="BM551" s="197"/>
      <c r="BN551" s="197"/>
      <c r="BO551" s="197"/>
      <c r="BP551" s="197"/>
      <c r="BQ551" s="197"/>
      <c r="BR551" s="197"/>
      <c r="BS551" s="197"/>
      <c r="BT551" s="197"/>
    </row>
    <row r="552">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c r="AA552" s="197"/>
      <c r="AB552" s="197"/>
      <c r="AC552" s="197"/>
      <c r="AD552" s="197"/>
      <c r="AE552" s="197"/>
      <c r="AF552" s="197"/>
      <c r="AG552" s="197"/>
      <c r="AH552" s="197"/>
      <c r="AI552" s="197"/>
      <c r="AJ552" s="197"/>
      <c r="AK552" s="197"/>
      <c r="AL552" s="197"/>
      <c r="AM552" s="197"/>
      <c r="AN552" s="197"/>
      <c r="AO552" s="197"/>
      <c r="AP552" s="197"/>
      <c r="AQ552" s="197"/>
      <c r="AR552" s="197"/>
      <c r="AS552" s="197"/>
      <c r="AT552" s="197"/>
      <c r="AU552" s="197"/>
      <c r="AV552" s="197"/>
      <c r="AW552" s="197"/>
      <c r="AX552" s="197"/>
      <c r="AY552" s="197"/>
      <c r="AZ552" s="197"/>
      <c r="BA552" s="197"/>
      <c r="BB552" s="197"/>
      <c r="BC552" s="197"/>
      <c r="BD552" s="197"/>
      <c r="BE552" s="197"/>
      <c r="BF552" s="197"/>
      <c r="BG552" s="197"/>
      <c r="BH552" s="197"/>
      <c r="BI552" s="197"/>
      <c r="BJ552" s="197"/>
      <c r="BK552" s="197"/>
      <c r="BL552" s="197"/>
      <c r="BM552" s="197"/>
      <c r="BN552" s="197"/>
      <c r="BO552" s="197"/>
      <c r="BP552" s="197"/>
      <c r="BQ552" s="197"/>
      <c r="BR552" s="197"/>
      <c r="BS552" s="197"/>
      <c r="BT552" s="197"/>
    </row>
    <row r="553">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c r="AA553" s="197"/>
      <c r="AB553" s="197"/>
      <c r="AC553" s="197"/>
      <c r="AD553" s="197"/>
      <c r="AE553" s="197"/>
      <c r="AF553" s="197"/>
      <c r="AG553" s="197"/>
      <c r="AH553" s="197"/>
      <c r="AI553" s="197"/>
      <c r="AJ553" s="197"/>
      <c r="AK553" s="197"/>
      <c r="AL553" s="197"/>
      <c r="AM553" s="197"/>
      <c r="AN553" s="197"/>
      <c r="AO553" s="197"/>
      <c r="AP553" s="197"/>
      <c r="AQ553" s="197"/>
      <c r="AR553" s="197"/>
      <c r="AS553" s="197"/>
      <c r="AT553" s="197"/>
      <c r="AU553" s="197"/>
      <c r="AV553" s="197"/>
      <c r="AW553" s="197"/>
      <c r="AX553" s="197"/>
      <c r="AY553" s="197"/>
      <c r="AZ553" s="197"/>
      <c r="BA553" s="197"/>
      <c r="BB553" s="197"/>
      <c r="BC553" s="197"/>
      <c r="BD553" s="197"/>
      <c r="BE553" s="197"/>
      <c r="BF553" s="197"/>
      <c r="BG553" s="197"/>
      <c r="BH553" s="197"/>
      <c r="BI553" s="197"/>
      <c r="BJ553" s="197"/>
      <c r="BK553" s="197"/>
      <c r="BL553" s="197"/>
      <c r="BM553" s="197"/>
      <c r="BN553" s="197"/>
      <c r="BO553" s="197"/>
      <c r="BP553" s="197"/>
      <c r="BQ553" s="197"/>
      <c r="BR553" s="197"/>
      <c r="BS553" s="197"/>
      <c r="BT553" s="197"/>
    </row>
    <row r="554">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c r="AA554" s="197"/>
      <c r="AB554" s="197"/>
      <c r="AC554" s="197"/>
      <c r="AD554" s="197"/>
      <c r="AE554" s="197"/>
      <c r="AF554" s="197"/>
      <c r="AG554" s="197"/>
      <c r="AH554" s="197"/>
      <c r="AI554" s="197"/>
      <c r="AJ554" s="197"/>
      <c r="AK554" s="197"/>
      <c r="AL554" s="197"/>
      <c r="AM554" s="197"/>
      <c r="AN554" s="197"/>
      <c r="AO554" s="197"/>
      <c r="AP554" s="197"/>
      <c r="AQ554" s="197"/>
      <c r="AR554" s="197"/>
      <c r="AS554" s="197"/>
      <c r="AT554" s="197"/>
      <c r="AU554" s="197"/>
      <c r="AV554" s="197"/>
      <c r="AW554" s="197"/>
      <c r="AX554" s="197"/>
      <c r="AY554" s="197"/>
      <c r="AZ554" s="197"/>
      <c r="BA554" s="197"/>
      <c r="BB554" s="197"/>
      <c r="BC554" s="197"/>
      <c r="BD554" s="197"/>
      <c r="BE554" s="197"/>
      <c r="BF554" s="197"/>
      <c r="BG554" s="197"/>
      <c r="BH554" s="197"/>
      <c r="BI554" s="197"/>
      <c r="BJ554" s="197"/>
      <c r="BK554" s="197"/>
      <c r="BL554" s="197"/>
      <c r="BM554" s="197"/>
      <c r="BN554" s="197"/>
      <c r="BO554" s="197"/>
      <c r="BP554" s="197"/>
      <c r="BQ554" s="197"/>
      <c r="BR554" s="197"/>
      <c r="BS554" s="197"/>
      <c r="BT554" s="197"/>
    </row>
    <row r="555">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c r="AA555" s="197"/>
      <c r="AB555" s="197"/>
      <c r="AC555" s="197"/>
      <c r="AD555" s="197"/>
      <c r="AE555" s="197"/>
      <c r="AF555" s="197"/>
      <c r="AG555" s="197"/>
      <c r="AH555" s="197"/>
      <c r="AI555" s="197"/>
      <c r="AJ555" s="197"/>
      <c r="AK555" s="197"/>
      <c r="AL555" s="197"/>
      <c r="AM555" s="197"/>
      <c r="AN555" s="197"/>
      <c r="AO555" s="197"/>
      <c r="AP555" s="197"/>
      <c r="AQ555" s="197"/>
      <c r="AR555" s="197"/>
      <c r="AS555" s="197"/>
      <c r="AT555" s="197"/>
      <c r="AU555" s="197"/>
      <c r="AV555" s="197"/>
      <c r="AW555" s="197"/>
      <c r="AX555" s="197"/>
      <c r="AY555" s="197"/>
      <c r="AZ555" s="197"/>
      <c r="BA555" s="197"/>
      <c r="BB555" s="197"/>
      <c r="BC555" s="197"/>
      <c r="BD555" s="197"/>
      <c r="BE555" s="197"/>
      <c r="BF555" s="197"/>
      <c r="BG555" s="197"/>
      <c r="BH555" s="197"/>
      <c r="BI555" s="197"/>
      <c r="BJ555" s="197"/>
      <c r="BK555" s="197"/>
      <c r="BL555" s="197"/>
      <c r="BM555" s="197"/>
      <c r="BN555" s="197"/>
      <c r="BO555" s="197"/>
      <c r="BP555" s="197"/>
      <c r="BQ555" s="197"/>
      <c r="BR555" s="197"/>
      <c r="BS555" s="197"/>
      <c r="BT555" s="197"/>
    </row>
    <row r="556">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c r="AA556" s="197"/>
      <c r="AB556" s="197"/>
      <c r="AC556" s="197"/>
      <c r="AD556" s="197"/>
      <c r="AE556" s="197"/>
      <c r="AF556" s="197"/>
      <c r="AG556" s="197"/>
      <c r="AH556" s="197"/>
      <c r="AI556" s="197"/>
      <c r="AJ556" s="197"/>
      <c r="AK556" s="197"/>
      <c r="AL556" s="197"/>
      <c r="AM556" s="197"/>
      <c r="AN556" s="197"/>
      <c r="AO556" s="197"/>
      <c r="AP556" s="197"/>
      <c r="AQ556" s="197"/>
      <c r="AR556" s="197"/>
      <c r="AS556" s="197"/>
      <c r="AT556" s="197"/>
      <c r="AU556" s="197"/>
      <c r="AV556" s="197"/>
      <c r="AW556" s="197"/>
      <c r="AX556" s="197"/>
      <c r="AY556" s="197"/>
      <c r="AZ556" s="197"/>
      <c r="BA556" s="197"/>
      <c r="BB556" s="197"/>
      <c r="BC556" s="197"/>
      <c r="BD556" s="197"/>
      <c r="BE556" s="197"/>
      <c r="BF556" s="197"/>
      <c r="BG556" s="197"/>
      <c r="BH556" s="197"/>
      <c r="BI556" s="197"/>
      <c r="BJ556" s="197"/>
      <c r="BK556" s="197"/>
      <c r="BL556" s="197"/>
      <c r="BM556" s="197"/>
      <c r="BN556" s="197"/>
      <c r="BO556" s="197"/>
      <c r="BP556" s="197"/>
      <c r="BQ556" s="197"/>
      <c r="BR556" s="197"/>
      <c r="BS556" s="197"/>
      <c r="BT556" s="197"/>
    </row>
    <row r="557">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c r="AA557" s="197"/>
      <c r="AB557" s="197"/>
      <c r="AC557" s="197"/>
      <c r="AD557" s="197"/>
      <c r="AE557" s="197"/>
      <c r="AF557" s="197"/>
      <c r="AG557" s="197"/>
      <c r="AH557" s="197"/>
      <c r="AI557" s="197"/>
      <c r="AJ557" s="197"/>
      <c r="AK557" s="197"/>
      <c r="AL557" s="197"/>
      <c r="AM557" s="197"/>
      <c r="AN557" s="197"/>
      <c r="AO557" s="197"/>
      <c r="AP557" s="197"/>
      <c r="AQ557" s="197"/>
      <c r="AR557" s="197"/>
      <c r="AS557" s="197"/>
      <c r="AT557" s="197"/>
      <c r="AU557" s="197"/>
      <c r="AV557" s="197"/>
      <c r="AW557" s="197"/>
      <c r="AX557" s="197"/>
      <c r="AY557" s="197"/>
      <c r="AZ557" s="197"/>
      <c r="BA557" s="197"/>
      <c r="BB557" s="197"/>
      <c r="BC557" s="197"/>
      <c r="BD557" s="197"/>
      <c r="BE557" s="197"/>
      <c r="BF557" s="197"/>
      <c r="BG557" s="197"/>
      <c r="BH557" s="197"/>
      <c r="BI557" s="197"/>
      <c r="BJ557" s="197"/>
      <c r="BK557" s="197"/>
      <c r="BL557" s="197"/>
      <c r="BM557" s="197"/>
      <c r="BN557" s="197"/>
      <c r="BO557" s="197"/>
      <c r="BP557" s="197"/>
      <c r="BQ557" s="197"/>
      <c r="BR557" s="197"/>
      <c r="BS557" s="197"/>
      <c r="BT557" s="197"/>
    </row>
    <row r="558">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c r="AA558" s="197"/>
      <c r="AB558" s="197"/>
      <c r="AC558" s="197"/>
      <c r="AD558" s="197"/>
      <c r="AE558" s="197"/>
      <c r="AF558" s="197"/>
      <c r="AG558" s="197"/>
      <c r="AH558" s="197"/>
      <c r="AI558" s="197"/>
      <c r="AJ558" s="197"/>
      <c r="AK558" s="197"/>
      <c r="AL558" s="197"/>
      <c r="AM558" s="197"/>
      <c r="AN558" s="197"/>
      <c r="AO558" s="197"/>
      <c r="AP558" s="197"/>
      <c r="AQ558" s="197"/>
      <c r="AR558" s="197"/>
      <c r="AS558" s="197"/>
      <c r="AT558" s="197"/>
      <c r="AU558" s="197"/>
      <c r="AV558" s="197"/>
      <c r="AW558" s="197"/>
      <c r="AX558" s="197"/>
      <c r="AY558" s="197"/>
      <c r="AZ558" s="197"/>
      <c r="BA558" s="197"/>
      <c r="BB558" s="197"/>
      <c r="BC558" s="197"/>
      <c r="BD558" s="197"/>
      <c r="BE558" s="197"/>
      <c r="BF558" s="197"/>
      <c r="BG558" s="197"/>
      <c r="BH558" s="197"/>
      <c r="BI558" s="197"/>
      <c r="BJ558" s="197"/>
      <c r="BK558" s="197"/>
      <c r="BL558" s="197"/>
      <c r="BM558" s="197"/>
      <c r="BN558" s="197"/>
      <c r="BO558" s="197"/>
      <c r="BP558" s="197"/>
      <c r="BQ558" s="197"/>
      <c r="BR558" s="197"/>
      <c r="BS558" s="197"/>
      <c r="BT558" s="197"/>
    </row>
    <row r="559">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c r="AA559" s="197"/>
      <c r="AB559" s="197"/>
      <c r="AC559" s="197"/>
      <c r="AD559" s="197"/>
      <c r="AE559" s="197"/>
      <c r="AF559" s="197"/>
      <c r="AG559" s="197"/>
      <c r="AH559" s="197"/>
      <c r="AI559" s="197"/>
      <c r="AJ559" s="197"/>
      <c r="AK559" s="197"/>
      <c r="AL559" s="197"/>
      <c r="AM559" s="197"/>
      <c r="AN559" s="197"/>
      <c r="AO559" s="197"/>
      <c r="AP559" s="197"/>
      <c r="AQ559" s="197"/>
      <c r="AR559" s="197"/>
      <c r="AS559" s="197"/>
      <c r="AT559" s="197"/>
      <c r="AU559" s="197"/>
      <c r="AV559" s="197"/>
      <c r="AW559" s="197"/>
      <c r="AX559" s="197"/>
      <c r="AY559" s="197"/>
      <c r="AZ559" s="197"/>
      <c r="BA559" s="197"/>
      <c r="BB559" s="197"/>
      <c r="BC559" s="197"/>
      <c r="BD559" s="197"/>
      <c r="BE559" s="197"/>
      <c r="BF559" s="197"/>
      <c r="BG559" s="197"/>
      <c r="BH559" s="197"/>
      <c r="BI559" s="197"/>
      <c r="BJ559" s="197"/>
      <c r="BK559" s="197"/>
      <c r="BL559" s="197"/>
      <c r="BM559" s="197"/>
      <c r="BN559" s="197"/>
      <c r="BO559" s="197"/>
      <c r="BP559" s="197"/>
      <c r="BQ559" s="197"/>
      <c r="BR559" s="197"/>
      <c r="BS559" s="197"/>
      <c r="BT559" s="197"/>
    </row>
    <row r="560">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c r="AA560" s="197"/>
      <c r="AB560" s="197"/>
      <c r="AC560" s="197"/>
      <c r="AD560" s="197"/>
      <c r="AE560" s="197"/>
      <c r="AF560" s="197"/>
      <c r="AG560" s="197"/>
      <c r="AH560" s="197"/>
      <c r="AI560" s="197"/>
      <c r="AJ560" s="197"/>
      <c r="AK560" s="197"/>
      <c r="AL560" s="197"/>
      <c r="AM560" s="197"/>
      <c r="AN560" s="197"/>
      <c r="AO560" s="197"/>
      <c r="AP560" s="197"/>
      <c r="AQ560" s="197"/>
      <c r="AR560" s="197"/>
      <c r="AS560" s="197"/>
      <c r="AT560" s="197"/>
      <c r="AU560" s="197"/>
      <c r="AV560" s="197"/>
      <c r="AW560" s="197"/>
      <c r="AX560" s="197"/>
      <c r="AY560" s="197"/>
      <c r="AZ560" s="197"/>
      <c r="BA560" s="197"/>
      <c r="BB560" s="197"/>
      <c r="BC560" s="197"/>
      <c r="BD560" s="197"/>
      <c r="BE560" s="197"/>
      <c r="BF560" s="197"/>
      <c r="BG560" s="197"/>
      <c r="BH560" s="197"/>
      <c r="BI560" s="197"/>
      <c r="BJ560" s="197"/>
      <c r="BK560" s="197"/>
      <c r="BL560" s="197"/>
      <c r="BM560" s="197"/>
      <c r="BN560" s="197"/>
      <c r="BO560" s="197"/>
      <c r="BP560" s="197"/>
      <c r="BQ560" s="197"/>
      <c r="BR560" s="197"/>
      <c r="BS560" s="197"/>
      <c r="BT560" s="197"/>
    </row>
    <row r="561">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c r="AA561" s="197"/>
      <c r="AB561" s="197"/>
      <c r="AC561" s="197"/>
      <c r="AD561" s="197"/>
      <c r="AE561" s="197"/>
      <c r="AF561" s="197"/>
      <c r="AG561" s="197"/>
      <c r="AH561" s="197"/>
      <c r="AI561" s="197"/>
      <c r="AJ561" s="197"/>
      <c r="AK561" s="197"/>
      <c r="AL561" s="197"/>
      <c r="AM561" s="197"/>
      <c r="AN561" s="197"/>
      <c r="AO561" s="197"/>
      <c r="AP561" s="197"/>
      <c r="AQ561" s="197"/>
      <c r="AR561" s="197"/>
      <c r="AS561" s="197"/>
      <c r="AT561" s="197"/>
      <c r="AU561" s="197"/>
      <c r="AV561" s="197"/>
      <c r="AW561" s="197"/>
      <c r="AX561" s="197"/>
      <c r="AY561" s="197"/>
      <c r="AZ561" s="197"/>
      <c r="BA561" s="197"/>
      <c r="BB561" s="197"/>
      <c r="BC561" s="197"/>
      <c r="BD561" s="197"/>
      <c r="BE561" s="197"/>
      <c r="BF561" s="197"/>
      <c r="BG561" s="197"/>
      <c r="BH561" s="197"/>
      <c r="BI561" s="197"/>
      <c r="BJ561" s="197"/>
      <c r="BK561" s="197"/>
      <c r="BL561" s="197"/>
      <c r="BM561" s="197"/>
      <c r="BN561" s="197"/>
      <c r="BO561" s="197"/>
      <c r="BP561" s="197"/>
      <c r="BQ561" s="197"/>
      <c r="BR561" s="197"/>
      <c r="BS561" s="197"/>
      <c r="BT561" s="197"/>
    </row>
    <row r="562">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c r="AA562" s="197"/>
      <c r="AB562" s="197"/>
      <c r="AC562" s="197"/>
      <c r="AD562" s="197"/>
      <c r="AE562" s="197"/>
      <c r="AF562" s="197"/>
      <c r="AG562" s="197"/>
      <c r="AH562" s="197"/>
      <c r="AI562" s="197"/>
      <c r="AJ562" s="197"/>
      <c r="AK562" s="197"/>
      <c r="AL562" s="197"/>
      <c r="AM562" s="197"/>
      <c r="AN562" s="197"/>
      <c r="AO562" s="197"/>
      <c r="AP562" s="197"/>
      <c r="AQ562" s="197"/>
      <c r="AR562" s="197"/>
      <c r="AS562" s="197"/>
      <c r="AT562" s="197"/>
      <c r="AU562" s="197"/>
      <c r="AV562" s="197"/>
      <c r="AW562" s="197"/>
      <c r="AX562" s="197"/>
      <c r="AY562" s="197"/>
      <c r="AZ562" s="197"/>
      <c r="BA562" s="197"/>
      <c r="BB562" s="197"/>
      <c r="BC562" s="197"/>
      <c r="BD562" s="197"/>
      <c r="BE562" s="197"/>
      <c r="BF562" s="197"/>
      <c r="BG562" s="197"/>
      <c r="BH562" s="197"/>
      <c r="BI562" s="197"/>
      <c r="BJ562" s="197"/>
      <c r="BK562" s="197"/>
      <c r="BL562" s="197"/>
      <c r="BM562" s="197"/>
      <c r="BN562" s="197"/>
      <c r="BO562" s="197"/>
      <c r="BP562" s="197"/>
      <c r="BQ562" s="197"/>
      <c r="BR562" s="197"/>
      <c r="BS562" s="197"/>
      <c r="BT562" s="197"/>
    </row>
    <row r="563">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c r="AA563" s="197"/>
      <c r="AB563" s="197"/>
      <c r="AC563" s="197"/>
      <c r="AD563" s="197"/>
      <c r="AE563" s="197"/>
      <c r="AF563" s="197"/>
      <c r="AG563" s="197"/>
      <c r="AH563" s="197"/>
      <c r="AI563" s="197"/>
      <c r="AJ563" s="197"/>
      <c r="AK563" s="197"/>
      <c r="AL563" s="197"/>
      <c r="AM563" s="197"/>
      <c r="AN563" s="197"/>
      <c r="AO563" s="197"/>
      <c r="AP563" s="197"/>
      <c r="AQ563" s="197"/>
      <c r="AR563" s="197"/>
      <c r="AS563" s="197"/>
      <c r="AT563" s="197"/>
      <c r="AU563" s="197"/>
      <c r="AV563" s="197"/>
      <c r="AW563" s="197"/>
      <c r="AX563" s="197"/>
      <c r="AY563" s="197"/>
      <c r="AZ563" s="197"/>
      <c r="BA563" s="197"/>
      <c r="BB563" s="197"/>
      <c r="BC563" s="197"/>
      <c r="BD563" s="197"/>
      <c r="BE563" s="197"/>
      <c r="BF563" s="197"/>
      <c r="BG563" s="197"/>
      <c r="BH563" s="197"/>
      <c r="BI563" s="197"/>
      <c r="BJ563" s="197"/>
      <c r="BK563" s="197"/>
      <c r="BL563" s="197"/>
      <c r="BM563" s="197"/>
      <c r="BN563" s="197"/>
      <c r="BO563" s="197"/>
      <c r="BP563" s="197"/>
      <c r="BQ563" s="197"/>
      <c r="BR563" s="197"/>
      <c r="BS563" s="197"/>
      <c r="BT563" s="197"/>
    </row>
    <row r="564">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c r="AA564" s="197"/>
      <c r="AB564" s="197"/>
      <c r="AC564" s="197"/>
      <c r="AD564" s="197"/>
      <c r="AE564" s="197"/>
      <c r="AF564" s="197"/>
      <c r="AG564" s="197"/>
      <c r="AH564" s="197"/>
      <c r="AI564" s="197"/>
      <c r="AJ564" s="197"/>
      <c r="AK564" s="197"/>
      <c r="AL564" s="197"/>
      <c r="AM564" s="197"/>
      <c r="AN564" s="197"/>
      <c r="AO564" s="197"/>
      <c r="AP564" s="197"/>
      <c r="AQ564" s="197"/>
      <c r="AR564" s="197"/>
      <c r="AS564" s="197"/>
      <c r="AT564" s="197"/>
      <c r="AU564" s="197"/>
      <c r="AV564" s="197"/>
      <c r="AW564" s="197"/>
      <c r="AX564" s="197"/>
      <c r="AY564" s="197"/>
      <c r="AZ564" s="197"/>
      <c r="BA564" s="197"/>
      <c r="BB564" s="197"/>
      <c r="BC564" s="197"/>
      <c r="BD564" s="197"/>
      <c r="BE564" s="197"/>
      <c r="BF564" s="197"/>
      <c r="BG564" s="197"/>
      <c r="BH564" s="197"/>
      <c r="BI564" s="197"/>
      <c r="BJ564" s="197"/>
      <c r="BK564" s="197"/>
      <c r="BL564" s="197"/>
      <c r="BM564" s="197"/>
      <c r="BN564" s="197"/>
      <c r="BO564" s="197"/>
      <c r="BP564" s="197"/>
      <c r="BQ564" s="197"/>
      <c r="BR564" s="197"/>
      <c r="BS564" s="197"/>
      <c r="BT564" s="197"/>
    </row>
    <row r="565">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c r="AA565" s="197"/>
      <c r="AB565" s="197"/>
      <c r="AC565" s="197"/>
      <c r="AD565" s="197"/>
      <c r="AE565" s="197"/>
      <c r="AF565" s="197"/>
      <c r="AG565" s="197"/>
      <c r="AH565" s="197"/>
      <c r="AI565" s="197"/>
      <c r="AJ565" s="197"/>
      <c r="AK565" s="197"/>
      <c r="AL565" s="197"/>
      <c r="AM565" s="197"/>
      <c r="AN565" s="197"/>
      <c r="AO565" s="197"/>
      <c r="AP565" s="197"/>
      <c r="AQ565" s="197"/>
      <c r="AR565" s="197"/>
      <c r="AS565" s="197"/>
      <c r="AT565" s="197"/>
      <c r="AU565" s="197"/>
      <c r="AV565" s="197"/>
      <c r="AW565" s="197"/>
      <c r="AX565" s="197"/>
      <c r="AY565" s="197"/>
      <c r="AZ565" s="197"/>
      <c r="BA565" s="197"/>
      <c r="BB565" s="197"/>
      <c r="BC565" s="197"/>
      <c r="BD565" s="197"/>
      <c r="BE565" s="197"/>
      <c r="BF565" s="197"/>
      <c r="BG565" s="197"/>
      <c r="BH565" s="197"/>
      <c r="BI565" s="197"/>
      <c r="BJ565" s="197"/>
      <c r="BK565" s="197"/>
      <c r="BL565" s="197"/>
      <c r="BM565" s="197"/>
      <c r="BN565" s="197"/>
      <c r="BO565" s="197"/>
      <c r="BP565" s="197"/>
      <c r="BQ565" s="197"/>
      <c r="BR565" s="197"/>
      <c r="BS565" s="197"/>
      <c r="BT565" s="197"/>
    </row>
    <row r="566">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c r="AA566" s="197"/>
      <c r="AB566" s="197"/>
      <c r="AC566" s="197"/>
      <c r="AD566" s="197"/>
      <c r="AE566" s="197"/>
      <c r="AF566" s="197"/>
      <c r="AG566" s="197"/>
      <c r="AH566" s="197"/>
      <c r="AI566" s="197"/>
      <c r="AJ566" s="197"/>
      <c r="AK566" s="197"/>
      <c r="AL566" s="197"/>
      <c r="AM566" s="197"/>
      <c r="AN566" s="197"/>
      <c r="AO566" s="197"/>
      <c r="AP566" s="197"/>
      <c r="AQ566" s="197"/>
      <c r="AR566" s="197"/>
      <c r="AS566" s="197"/>
      <c r="AT566" s="197"/>
      <c r="AU566" s="197"/>
      <c r="AV566" s="197"/>
      <c r="AW566" s="197"/>
      <c r="AX566" s="197"/>
      <c r="AY566" s="197"/>
      <c r="AZ566" s="197"/>
      <c r="BA566" s="197"/>
      <c r="BB566" s="197"/>
      <c r="BC566" s="197"/>
      <c r="BD566" s="197"/>
      <c r="BE566" s="197"/>
      <c r="BF566" s="197"/>
      <c r="BG566" s="197"/>
      <c r="BH566" s="197"/>
      <c r="BI566" s="197"/>
      <c r="BJ566" s="197"/>
      <c r="BK566" s="197"/>
      <c r="BL566" s="197"/>
      <c r="BM566" s="197"/>
      <c r="BN566" s="197"/>
      <c r="BO566" s="197"/>
      <c r="BP566" s="197"/>
      <c r="BQ566" s="197"/>
      <c r="BR566" s="197"/>
      <c r="BS566" s="197"/>
      <c r="BT566" s="197"/>
    </row>
    <row r="567">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c r="AA567" s="197"/>
      <c r="AB567" s="197"/>
      <c r="AC567" s="197"/>
      <c r="AD567" s="197"/>
      <c r="AE567" s="197"/>
      <c r="AF567" s="197"/>
      <c r="AG567" s="197"/>
      <c r="AH567" s="197"/>
      <c r="AI567" s="197"/>
      <c r="AJ567" s="197"/>
      <c r="AK567" s="197"/>
      <c r="AL567" s="197"/>
      <c r="AM567" s="197"/>
      <c r="AN567" s="197"/>
      <c r="AO567" s="197"/>
      <c r="AP567" s="197"/>
      <c r="AQ567" s="197"/>
      <c r="AR567" s="197"/>
      <c r="AS567" s="197"/>
      <c r="AT567" s="197"/>
      <c r="AU567" s="197"/>
      <c r="AV567" s="197"/>
      <c r="AW567" s="197"/>
      <c r="AX567" s="197"/>
      <c r="AY567" s="197"/>
      <c r="AZ567" s="197"/>
      <c r="BA567" s="197"/>
      <c r="BB567" s="197"/>
      <c r="BC567" s="197"/>
      <c r="BD567" s="197"/>
      <c r="BE567" s="197"/>
      <c r="BF567" s="197"/>
      <c r="BG567" s="197"/>
      <c r="BH567" s="197"/>
      <c r="BI567" s="197"/>
      <c r="BJ567" s="197"/>
      <c r="BK567" s="197"/>
      <c r="BL567" s="197"/>
      <c r="BM567" s="197"/>
      <c r="BN567" s="197"/>
      <c r="BO567" s="197"/>
      <c r="BP567" s="197"/>
      <c r="BQ567" s="197"/>
      <c r="BR567" s="197"/>
      <c r="BS567" s="197"/>
      <c r="BT567" s="197"/>
    </row>
    <row r="568">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c r="AA568" s="197"/>
      <c r="AB568" s="197"/>
      <c r="AC568" s="197"/>
      <c r="AD568" s="197"/>
      <c r="AE568" s="197"/>
      <c r="AF568" s="197"/>
      <c r="AG568" s="197"/>
      <c r="AH568" s="197"/>
      <c r="AI568" s="197"/>
      <c r="AJ568" s="197"/>
      <c r="AK568" s="197"/>
      <c r="AL568" s="197"/>
      <c r="AM568" s="197"/>
      <c r="AN568" s="197"/>
      <c r="AO568" s="197"/>
      <c r="AP568" s="197"/>
      <c r="AQ568" s="197"/>
      <c r="AR568" s="197"/>
      <c r="AS568" s="197"/>
      <c r="AT568" s="197"/>
      <c r="AU568" s="197"/>
      <c r="AV568" s="197"/>
      <c r="AW568" s="197"/>
      <c r="AX568" s="197"/>
      <c r="AY568" s="197"/>
      <c r="AZ568" s="197"/>
      <c r="BA568" s="197"/>
      <c r="BB568" s="197"/>
      <c r="BC568" s="197"/>
      <c r="BD568" s="197"/>
      <c r="BE568" s="197"/>
      <c r="BF568" s="197"/>
      <c r="BG568" s="197"/>
      <c r="BH568" s="197"/>
      <c r="BI568" s="197"/>
      <c r="BJ568" s="197"/>
      <c r="BK568" s="197"/>
      <c r="BL568" s="197"/>
      <c r="BM568" s="197"/>
      <c r="BN568" s="197"/>
      <c r="BO568" s="197"/>
      <c r="BP568" s="197"/>
      <c r="BQ568" s="197"/>
      <c r="BR568" s="197"/>
      <c r="BS568" s="197"/>
      <c r="BT568" s="197"/>
    </row>
    <row r="569">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c r="AA569" s="197"/>
      <c r="AB569" s="197"/>
      <c r="AC569" s="197"/>
      <c r="AD569" s="197"/>
      <c r="AE569" s="197"/>
      <c r="AF569" s="197"/>
      <c r="AG569" s="197"/>
      <c r="AH569" s="197"/>
      <c r="AI569" s="197"/>
      <c r="AJ569" s="197"/>
      <c r="AK569" s="197"/>
      <c r="AL569" s="197"/>
      <c r="AM569" s="197"/>
      <c r="AN569" s="197"/>
      <c r="AO569" s="197"/>
      <c r="AP569" s="197"/>
      <c r="AQ569" s="197"/>
      <c r="AR569" s="197"/>
      <c r="AS569" s="197"/>
      <c r="AT569" s="197"/>
      <c r="AU569" s="197"/>
      <c r="AV569" s="197"/>
      <c r="AW569" s="197"/>
      <c r="AX569" s="197"/>
      <c r="AY569" s="197"/>
      <c r="AZ569" s="197"/>
      <c r="BA569" s="197"/>
      <c r="BB569" s="197"/>
      <c r="BC569" s="197"/>
      <c r="BD569" s="197"/>
      <c r="BE569" s="197"/>
      <c r="BF569" s="197"/>
      <c r="BG569" s="197"/>
      <c r="BH569" s="197"/>
      <c r="BI569" s="197"/>
      <c r="BJ569" s="197"/>
      <c r="BK569" s="197"/>
      <c r="BL569" s="197"/>
      <c r="BM569" s="197"/>
      <c r="BN569" s="197"/>
      <c r="BO569" s="197"/>
      <c r="BP569" s="197"/>
      <c r="BQ569" s="197"/>
      <c r="BR569" s="197"/>
      <c r="BS569" s="197"/>
      <c r="BT569" s="197"/>
    </row>
    <row r="570">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c r="AA570" s="197"/>
      <c r="AB570" s="197"/>
      <c r="AC570" s="197"/>
      <c r="AD570" s="197"/>
      <c r="AE570" s="197"/>
      <c r="AF570" s="197"/>
      <c r="AG570" s="197"/>
      <c r="AH570" s="197"/>
      <c r="AI570" s="197"/>
      <c r="AJ570" s="197"/>
      <c r="AK570" s="197"/>
      <c r="AL570" s="197"/>
      <c r="AM570" s="197"/>
      <c r="AN570" s="197"/>
      <c r="AO570" s="197"/>
      <c r="AP570" s="197"/>
      <c r="AQ570" s="197"/>
      <c r="AR570" s="197"/>
      <c r="AS570" s="197"/>
      <c r="AT570" s="197"/>
      <c r="AU570" s="197"/>
      <c r="AV570" s="197"/>
      <c r="AW570" s="197"/>
      <c r="AX570" s="197"/>
      <c r="AY570" s="197"/>
      <c r="AZ570" s="197"/>
      <c r="BA570" s="197"/>
      <c r="BB570" s="197"/>
      <c r="BC570" s="197"/>
      <c r="BD570" s="197"/>
      <c r="BE570" s="197"/>
      <c r="BF570" s="197"/>
      <c r="BG570" s="197"/>
      <c r="BH570" s="197"/>
      <c r="BI570" s="197"/>
      <c r="BJ570" s="197"/>
      <c r="BK570" s="197"/>
      <c r="BL570" s="197"/>
      <c r="BM570" s="197"/>
      <c r="BN570" s="197"/>
      <c r="BO570" s="197"/>
      <c r="BP570" s="197"/>
      <c r="BQ570" s="197"/>
      <c r="BR570" s="197"/>
      <c r="BS570" s="197"/>
      <c r="BT570" s="197"/>
    </row>
    <row r="571">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c r="AA571" s="197"/>
      <c r="AB571" s="197"/>
      <c r="AC571" s="197"/>
      <c r="AD571" s="197"/>
      <c r="AE571" s="197"/>
      <c r="AF571" s="197"/>
      <c r="AG571" s="197"/>
      <c r="AH571" s="197"/>
      <c r="AI571" s="197"/>
      <c r="AJ571" s="197"/>
      <c r="AK571" s="197"/>
      <c r="AL571" s="197"/>
      <c r="AM571" s="197"/>
      <c r="AN571" s="197"/>
      <c r="AO571" s="197"/>
      <c r="AP571" s="197"/>
      <c r="AQ571" s="197"/>
      <c r="AR571" s="197"/>
      <c r="AS571" s="197"/>
      <c r="AT571" s="197"/>
      <c r="AU571" s="197"/>
      <c r="AV571" s="197"/>
      <c r="AW571" s="197"/>
      <c r="AX571" s="197"/>
      <c r="AY571" s="197"/>
      <c r="AZ571" s="197"/>
      <c r="BA571" s="197"/>
      <c r="BB571" s="197"/>
      <c r="BC571" s="197"/>
      <c r="BD571" s="197"/>
      <c r="BE571" s="197"/>
      <c r="BF571" s="197"/>
      <c r="BG571" s="197"/>
      <c r="BH571" s="197"/>
      <c r="BI571" s="197"/>
      <c r="BJ571" s="197"/>
      <c r="BK571" s="197"/>
      <c r="BL571" s="197"/>
      <c r="BM571" s="197"/>
      <c r="BN571" s="197"/>
      <c r="BO571" s="197"/>
      <c r="BP571" s="197"/>
      <c r="BQ571" s="197"/>
      <c r="BR571" s="197"/>
      <c r="BS571" s="197"/>
      <c r="BT571" s="197"/>
    </row>
    <row r="572">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c r="AA572" s="197"/>
      <c r="AB572" s="197"/>
      <c r="AC572" s="197"/>
      <c r="AD572" s="197"/>
      <c r="AE572" s="197"/>
      <c r="AF572" s="197"/>
      <c r="AG572" s="197"/>
      <c r="AH572" s="197"/>
      <c r="AI572" s="197"/>
      <c r="AJ572" s="197"/>
      <c r="AK572" s="197"/>
      <c r="AL572" s="197"/>
      <c r="AM572" s="197"/>
      <c r="AN572" s="197"/>
      <c r="AO572" s="197"/>
      <c r="AP572" s="197"/>
      <c r="AQ572" s="197"/>
      <c r="AR572" s="197"/>
      <c r="AS572" s="197"/>
      <c r="AT572" s="197"/>
      <c r="AU572" s="197"/>
      <c r="AV572" s="197"/>
      <c r="AW572" s="197"/>
      <c r="AX572" s="197"/>
      <c r="AY572" s="197"/>
      <c r="AZ572" s="197"/>
      <c r="BA572" s="197"/>
      <c r="BB572" s="197"/>
      <c r="BC572" s="197"/>
      <c r="BD572" s="197"/>
      <c r="BE572" s="197"/>
      <c r="BF572" s="197"/>
      <c r="BG572" s="197"/>
      <c r="BH572" s="197"/>
      <c r="BI572" s="197"/>
      <c r="BJ572" s="197"/>
      <c r="BK572" s="197"/>
      <c r="BL572" s="197"/>
      <c r="BM572" s="197"/>
      <c r="BN572" s="197"/>
      <c r="BO572" s="197"/>
      <c r="BP572" s="197"/>
      <c r="BQ572" s="197"/>
      <c r="BR572" s="197"/>
      <c r="BS572" s="197"/>
      <c r="BT572" s="197"/>
    </row>
    <row r="573">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c r="AA573" s="197"/>
      <c r="AB573" s="197"/>
      <c r="AC573" s="197"/>
      <c r="AD573" s="197"/>
      <c r="AE573" s="197"/>
      <c r="AF573" s="197"/>
      <c r="AG573" s="197"/>
      <c r="AH573" s="197"/>
      <c r="AI573" s="197"/>
      <c r="AJ573" s="197"/>
      <c r="AK573" s="197"/>
      <c r="AL573" s="197"/>
      <c r="AM573" s="197"/>
      <c r="AN573" s="197"/>
      <c r="AO573" s="197"/>
      <c r="AP573" s="197"/>
      <c r="AQ573" s="197"/>
      <c r="AR573" s="197"/>
      <c r="AS573" s="197"/>
      <c r="AT573" s="197"/>
      <c r="AU573" s="197"/>
      <c r="AV573" s="197"/>
      <c r="AW573" s="197"/>
      <c r="AX573" s="197"/>
      <c r="AY573" s="197"/>
      <c r="AZ573" s="197"/>
      <c r="BA573" s="197"/>
      <c r="BB573" s="197"/>
      <c r="BC573" s="197"/>
      <c r="BD573" s="197"/>
      <c r="BE573" s="197"/>
      <c r="BF573" s="197"/>
      <c r="BG573" s="197"/>
      <c r="BH573" s="197"/>
      <c r="BI573" s="197"/>
      <c r="BJ573" s="197"/>
      <c r="BK573" s="197"/>
      <c r="BL573" s="197"/>
      <c r="BM573" s="197"/>
      <c r="BN573" s="197"/>
      <c r="BO573" s="197"/>
      <c r="BP573" s="197"/>
      <c r="BQ573" s="197"/>
      <c r="BR573" s="197"/>
      <c r="BS573" s="197"/>
      <c r="BT573" s="197"/>
    </row>
    <row r="574">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c r="AA574" s="197"/>
      <c r="AB574" s="197"/>
      <c r="AC574" s="197"/>
      <c r="AD574" s="197"/>
      <c r="AE574" s="197"/>
      <c r="AF574" s="197"/>
      <c r="AG574" s="197"/>
      <c r="AH574" s="197"/>
      <c r="AI574" s="197"/>
      <c r="AJ574" s="197"/>
      <c r="AK574" s="197"/>
      <c r="AL574" s="197"/>
      <c r="AM574" s="197"/>
      <c r="AN574" s="197"/>
      <c r="AO574" s="197"/>
      <c r="AP574" s="197"/>
      <c r="AQ574" s="197"/>
      <c r="AR574" s="197"/>
      <c r="AS574" s="197"/>
      <c r="AT574" s="197"/>
      <c r="AU574" s="197"/>
      <c r="AV574" s="197"/>
      <c r="AW574" s="197"/>
      <c r="AX574" s="197"/>
      <c r="AY574" s="197"/>
      <c r="AZ574" s="197"/>
      <c r="BA574" s="197"/>
      <c r="BB574" s="197"/>
      <c r="BC574" s="197"/>
      <c r="BD574" s="197"/>
      <c r="BE574" s="197"/>
      <c r="BF574" s="197"/>
      <c r="BG574" s="197"/>
      <c r="BH574" s="197"/>
      <c r="BI574" s="197"/>
      <c r="BJ574" s="197"/>
      <c r="BK574" s="197"/>
      <c r="BL574" s="197"/>
      <c r="BM574" s="197"/>
      <c r="BN574" s="197"/>
      <c r="BO574" s="197"/>
      <c r="BP574" s="197"/>
      <c r="BQ574" s="197"/>
      <c r="BR574" s="197"/>
      <c r="BS574" s="197"/>
      <c r="BT574" s="197"/>
    </row>
    <row r="575">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c r="AA575" s="197"/>
      <c r="AB575" s="197"/>
      <c r="AC575" s="197"/>
      <c r="AD575" s="197"/>
      <c r="AE575" s="197"/>
      <c r="AF575" s="197"/>
      <c r="AG575" s="197"/>
      <c r="AH575" s="197"/>
      <c r="AI575" s="197"/>
      <c r="AJ575" s="197"/>
      <c r="AK575" s="197"/>
      <c r="AL575" s="197"/>
      <c r="AM575" s="197"/>
      <c r="AN575" s="197"/>
      <c r="AO575" s="197"/>
      <c r="AP575" s="197"/>
      <c r="AQ575" s="197"/>
      <c r="AR575" s="197"/>
      <c r="AS575" s="197"/>
      <c r="AT575" s="197"/>
      <c r="AU575" s="197"/>
      <c r="AV575" s="197"/>
      <c r="AW575" s="197"/>
      <c r="AX575" s="197"/>
      <c r="AY575" s="197"/>
      <c r="AZ575" s="197"/>
      <c r="BA575" s="197"/>
      <c r="BB575" s="197"/>
      <c r="BC575" s="197"/>
      <c r="BD575" s="197"/>
      <c r="BE575" s="197"/>
      <c r="BF575" s="197"/>
      <c r="BG575" s="197"/>
      <c r="BH575" s="197"/>
      <c r="BI575" s="197"/>
      <c r="BJ575" s="197"/>
      <c r="BK575" s="197"/>
      <c r="BL575" s="197"/>
      <c r="BM575" s="197"/>
      <c r="BN575" s="197"/>
      <c r="BO575" s="197"/>
      <c r="BP575" s="197"/>
      <c r="BQ575" s="197"/>
      <c r="BR575" s="197"/>
      <c r="BS575" s="197"/>
      <c r="BT575" s="197"/>
    </row>
    <row r="576">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c r="AA576" s="197"/>
      <c r="AB576" s="197"/>
      <c r="AC576" s="197"/>
      <c r="AD576" s="197"/>
      <c r="AE576" s="197"/>
      <c r="AF576" s="197"/>
      <c r="AG576" s="197"/>
      <c r="AH576" s="197"/>
      <c r="AI576" s="197"/>
      <c r="AJ576" s="197"/>
      <c r="AK576" s="197"/>
      <c r="AL576" s="197"/>
      <c r="AM576" s="197"/>
      <c r="AN576" s="197"/>
      <c r="AO576" s="197"/>
      <c r="AP576" s="197"/>
      <c r="AQ576" s="197"/>
      <c r="AR576" s="197"/>
      <c r="AS576" s="197"/>
      <c r="AT576" s="197"/>
      <c r="AU576" s="197"/>
      <c r="AV576" s="197"/>
      <c r="AW576" s="197"/>
      <c r="AX576" s="197"/>
      <c r="AY576" s="197"/>
      <c r="AZ576" s="197"/>
      <c r="BA576" s="197"/>
      <c r="BB576" s="197"/>
      <c r="BC576" s="197"/>
      <c r="BD576" s="197"/>
      <c r="BE576" s="197"/>
      <c r="BF576" s="197"/>
      <c r="BG576" s="197"/>
      <c r="BH576" s="197"/>
      <c r="BI576" s="197"/>
      <c r="BJ576" s="197"/>
      <c r="BK576" s="197"/>
      <c r="BL576" s="197"/>
      <c r="BM576" s="197"/>
      <c r="BN576" s="197"/>
      <c r="BO576" s="197"/>
      <c r="BP576" s="197"/>
      <c r="BQ576" s="197"/>
      <c r="BR576" s="197"/>
      <c r="BS576" s="197"/>
      <c r="BT576" s="197"/>
    </row>
    <row r="577">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c r="AA577" s="197"/>
      <c r="AB577" s="197"/>
      <c r="AC577" s="197"/>
      <c r="AD577" s="197"/>
      <c r="AE577" s="197"/>
      <c r="AF577" s="197"/>
      <c r="AG577" s="197"/>
      <c r="AH577" s="197"/>
      <c r="AI577" s="197"/>
      <c r="AJ577" s="197"/>
      <c r="AK577" s="197"/>
      <c r="AL577" s="197"/>
      <c r="AM577" s="197"/>
      <c r="AN577" s="197"/>
      <c r="AO577" s="197"/>
      <c r="AP577" s="197"/>
      <c r="AQ577" s="197"/>
      <c r="AR577" s="197"/>
      <c r="AS577" s="197"/>
      <c r="AT577" s="197"/>
      <c r="AU577" s="197"/>
      <c r="AV577" s="197"/>
      <c r="AW577" s="197"/>
      <c r="AX577" s="197"/>
      <c r="AY577" s="197"/>
      <c r="AZ577" s="197"/>
      <c r="BA577" s="197"/>
      <c r="BB577" s="197"/>
      <c r="BC577" s="197"/>
      <c r="BD577" s="197"/>
      <c r="BE577" s="197"/>
      <c r="BF577" s="197"/>
      <c r="BG577" s="197"/>
      <c r="BH577" s="197"/>
      <c r="BI577" s="197"/>
      <c r="BJ577" s="197"/>
      <c r="BK577" s="197"/>
      <c r="BL577" s="197"/>
      <c r="BM577" s="197"/>
      <c r="BN577" s="197"/>
      <c r="BO577" s="197"/>
      <c r="BP577" s="197"/>
      <c r="BQ577" s="197"/>
      <c r="BR577" s="197"/>
      <c r="BS577" s="197"/>
      <c r="BT577" s="197"/>
    </row>
    <row r="578">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c r="AA578" s="197"/>
      <c r="AB578" s="197"/>
      <c r="AC578" s="197"/>
      <c r="AD578" s="197"/>
      <c r="AE578" s="197"/>
      <c r="AF578" s="197"/>
      <c r="AG578" s="197"/>
      <c r="AH578" s="197"/>
      <c r="AI578" s="197"/>
      <c r="AJ578" s="197"/>
      <c r="AK578" s="197"/>
      <c r="AL578" s="197"/>
      <c r="AM578" s="197"/>
      <c r="AN578" s="197"/>
      <c r="AO578" s="197"/>
      <c r="AP578" s="197"/>
      <c r="AQ578" s="197"/>
      <c r="AR578" s="197"/>
      <c r="AS578" s="197"/>
      <c r="AT578" s="197"/>
      <c r="AU578" s="197"/>
      <c r="AV578" s="197"/>
      <c r="AW578" s="197"/>
      <c r="AX578" s="197"/>
      <c r="AY578" s="197"/>
      <c r="AZ578" s="197"/>
      <c r="BA578" s="197"/>
      <c r="BB578" s="197"/>
      <c r="BC578" s="197"/>
      <c r="BD578" s="197"/>
      <c r="BE578" s="197"/>
      <c r="BF578" s="197"/>
      <c r="BG578" s="197"/>
      <c r="BH578" s="197"/>
      <c r="BI578" s="197"/>
      <c r="BJ578" s="197"/>
      <c r="BK578" s="197"/>
      <c r="BL578" s="197"/>
      <c r="BM578" s="197"/>
      <c r="BN578" s="197"/>
      <c r="BO578" s="197"/>
      <c r="BP578" s="197"/>
      <c r="BQ578" s="197"/>
      <c r="BR578" s="197"/>
      <c r="BS578" s="197"/>
      <c r="BT578" s="197"/>
    </row>
    <row r="579">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c r="AA579" s="197"/>
      <c r="AB579" s="197"/>
      <c r="AC579" s="197"/>
      <c r="AD579" s="197"/>
      <c r="AE579" s="197"/>
      <c r="AF579" s="197"/>
      <c r="AG579" s="197"/>
      <c r="AH579" s="197"/>
      <c r="AI579" s="197"/>
      <c r="AJ579" s="197"/>
      <c r="AK579" s="197"/>
      <c r="AL579" s="197"/>
      <c r="AM579" s="197"/>
      <c r="AN579" s="197"/>
      <c r="AO579" s="197"/>
      <c r="AP579" s="197"/>
      <c r="AQ579" s="197"/>
      <c r="AR579" s="197"/>
      <c r="AS579" s="197"/>
      <c r="AT579" s="197"/>
      <c r="AU579" s="197"/>
      <c r="AV579" s="197"/>
      <c r="AW579" s="197"/>
      <c r="AX579" s="197"/>
      <c r="AY579" s="197"/>
      <c r="AZ579" s="197"/>
      <c r="BA579" s="197"/>
      <c r="BB579" s="197"/>
      <c r="BC579" s="197"/>
      <c r="BD579" s="197"/>
      <c r="BE579" s="197"/>
      <c r="BF579" s="197"/>
      <c r="BG579" s="197"/>
      <c r="BH579" s="197"/>
      <c r="BI579" s="197"/>
      <c r="BJ579" s="197"/>
      <c r="BK579" s="197"/>
      <c r="BL579" s="197"/>
      <c r="BM579" s="197"/>
      <c r="BN579" s="197"/>
      <c r="BO579" s="197"/>
      <c r="BP579" s="197"/>
      <c r="BQ579" s="197"/>
      <c r="BR579" s="197"/>
      <c r="BS579" s="197"/>
      <c r="BT579" s="197"/>
    </row>
    <row r="580">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c r="AA580" s="197"/>
      <c r="AB580" s="197"/>
      <c r="AC580" s="197"/>
      <c r="AD580" s="197"/>
      <c r="AE580" s="197"/>
      <c r="AF580" s="197"/>
      <c r="AG580" s="197"/>
      <c r="AH580" s="197"/>
      <c r="AI580" s="197"/>
      <c r="AJ580" s="197"/>
      <c r="AK580" s="197"/>
      <c r="AL580" s="197"/>
      <c r="AM580" s="197"/>
      <c r="AN580" s="197"/>
      <c r="AO580" s="197"/>
      <c r="AP580" s="197"/>
      <c r="AQ580" s="197"/>
      <c r="AR580" s="197"/>
      <c r="AS580" s="197"/>
      <c r="AT580" s="197"/>
      <c r="AU580" s="197"/>
      <c r="AV580" s="197"/>
      <c r="AW580" s="197"/>
      <c r="AX580" s="197"/>
      <c r="AY580" s="197"/>
      <c r="AZ580" s="197"/>
      <c r="BA580" s="197"/>
      <c r="BB580" s="197"/>
      <c r="BC580" s="197"/>
      <c r="BD580" s="197"/>
      <c r="BE580" s="197"/>
      <c r="BF580" s="197"/>
      <c r="BG580" s="197"/>
      <c r="BH580" s="197"/>
      <c r="BI580" s="197"/>
      <c r="BJ580" s="197"/>
      <c r="BK580" s="197"/>
      <c r="BL580" s="197"/>
      <c r="BM580" s="197"/>
      <c r="BN580" s="197"/>
      <c r="BO580" s="197"/>
      <c r="BP580" s="197"/>
      <c r="BQ580" s="197"/>
      <c r="BR580" s="197"/>
      <c r="BS580" s="197"/>
      <c r="BT580" s="197"/>
    </row>
    <row r="581">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c r="AA581" s="197"/>
      <c r="AB581" s="197"/>
      <c r="AC581" s="197"/>
      <c r="AD581" s="197"/>
      <c r="AE581" s="197"/>
      <c r="AF581" s="197"/>
      <c r="AG581" s="197"/>
      <c r="AH581" s="197"/>
      <c r="AI581" s="197"/>
      <c r="AJ581" s="197"/>
      <c r="AK581" s="197"/>
      <c r="AL581" s="197"/>
      <c r="AM581" s="197"/>
      <c r="AN581" s="197"/>
      <c r="AO581" s="197"/>
      <c r="AP581" s="197"/>
      <c r="AQ581" s="197"/>
      <c r="AR581" s="197"/>
      <c r="AS581" s="197"/>
      <c r="AT581" s="197"/>
      <c r="AU581" s="197"/>
      <c r="AV581" s="197"/>
      <c r="AW581" s="197"/>
      <c r="AX581" s="197"/>
      <c r="AY581" s="197"/>
      <c r="AZ581" s="197"/>
      <c r="BA581" s="197"/>
      <c r="BB581" s="197"/>
      <c r="BC581" s="197"/>
      <c r="BD581" s="197"/>
      <c r="BE581" s="197"/>
      <c r="BF581" s="197"/>
      <c r="BG581" s="197"/>
      <c r="BH581" s="197"/>
      <c r="BI581" s="197"/>
      <c r="BJ581" s="197"/>
      <c r="BK581" s="197"/>
      <c r="BL581" s="197"/>
      <c r="BM581" s="197"/>
      <c r="BN581" s="197"/>
      <c r="BO581" s="197"/>
      <c r="BP581" s="197"/>
      <c r="BQ581" s="197"/>
      <c r="BR581" s="197"/>
      <c r="BS581" s="197"/>
      <c r="BT581" s="197"/>
    </row>
    <row r="582">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c r="AA582" s="197"/>
      <c r="AB582" s="197"/>
      <c r="AC582" s="197"/>
      <c r="AD582" s="197"/>
      <c r="AE582" s="197"/>
      <c r="AF582" s="197"/>
      <c r="AG582" s="197"/>
      <c r="AH582" s="197"/>
      <c r="AI582" s="197"/>
      <c r="AJ582" s="197"/>
      <c r="AK582" s="197"/>
      <c r="AL582" s="197"/>
      <c r="AM582" s="197"/>
      <c r="AN582" s="197"/>
      <c r="AO582" s="197"/>
      <c r="AP582" s="197"/>
      <c r="AQ582" s="197"/>
      <c r="AR582" s="197"/>
      <c r="AS582" s="197"/>
      <c r="AT582" s="197"/>
      <c r="AU582" s="197"/>
      <c r="AV582" s="197"/>
      <c r="AW582" s="197"/>
      <c r="AX582" s="197"/>
      <c r="AY582" s="197"/>
      <c r="AZ582" s="197"/>
      <c r="BA582" s="197"/>
      <c r="BB582" s="197"/>
      <c r="BC582" s="197"/>
      <c r="BD582" s="197"/>
      <c r="BE582" s="197"/>
      <c r="BF582" s="197"/>
      <c r="BG582" s="197"/>
      <c r="BH582" s="197"/>
      <c r="BI582" s="197"/>
      <c r="BJ582" s="197"/>
      <c r="BK582" s="197"/>
      <c r="BL582" s="197"/>
      <c r="BM582" s="197"/>
      <c r="BN582" s="197"/>
      <c r="BO582" s="197"/>
      <c r="BP582" s="197"/>
      <c r="BQ582" s="197"/>
      <c r="BR582" s="197"/>
      <c r="BS582" s="197"/>
      <c r="BT582" s="197"/>
    </row>
    <row r="583">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c r="AA583" s="197"/>
      <c r="AB583" s="197"/>
      <c r="AC583" s="197"/>
      <c r="AD583" s="197"/>
      <c r="AE583" s="197"/>
      <c r="AF583" s="197"/>
      <c r="AG583" s="197"/>
      <c r="AH583" s="197"/>
      <c r="AI583" s="197"/>
      <c r="AJ583" s="197"/>
      <c r="AK583" s="197"/>
      <c r="AL583" s="197"/>
      <c r="AM583" s="197"/>
      <c r="AN583" s="197"/>
      <c r="AO583" s="197"/>
      <c r="AP583" s="197"/>
      <c r="AQ583" s="197"/>
      <c r="AR583" s="197"/>
      <c r="AS583" s="197"/>
      <c r="AT583" s="197"/>
      <c r="AU583" s="197"/>
      <c r="AV583" s="197"/>
      <c r="AW583" s="197"/>
      <c r="AX583" s="197"/>
      <c r="AY583" s="197"/>
      <c r="AZ583" s="197"/>
      <c r="BA583" s="197"/>
      <c r="BB583" s="197"/>
      <c r="BC583" s="197"/>
      <c r="BD583" s="197"/>
      <c r="BE583" s="197"/>
      <c r="BF583" s="197"/>
      <c r="BG583" s="197"/>
      <c r="BH583" s="197"/>
      <c r="BI583" s="197"/>
      <c r="BJ583" s="197"/>
      <c r="BK583" s="197"/>
      <c r="BL583" s="197"/>
      <c r="BM583" s="197"/>
      <c r="BN583" s="197"/>
      <c r="BO583" s="197"/>
      <c r="BP583" s="197"/>
      <c r="BQ583" s="197"/>
      <c r="BR583" s="197"/>
      <c r="BS583" s="197"/>
      <c r="BT583" s="197"/>
    </row>
    <row r="584">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c r="AA584" s="197"/>
      <c r="AB584" s="197"/>
      <c r="AC584" s="197"/>
      <c r="AD584" s="197"/>
      <c r="AE584" s="197"/>
      <c r="AF584" s="197"/>
      <c r="AG584" s="197"/>
      <c r="AH584" s="197"/>
      <c r="AI584" s="197"/>
      <c r="AJ584" s="197"/>
      <c r="AK584" s="197"/>
      <c r="AL584" s="197"/>
      <c r="AM584" s="197"/>
      <c r="AN584" s="197"/>
      <c r="AO584" s="197"/>
      <c r="AP584" s="197"/>
      <c r="AQ584" s="197"/>
      <c r="AR584" s="197"/>
      <c r="AS584" s="197"/>
      <c r="AT584" s="197"/>
      <c r="AU584" s="197"/>
      <c r="AV584" s="197"/>
      <c r="AW584" s="197"/>
      <c r="AX584" s="197"/>
      <c r="AY584" s="197"/>
      <c r="AZ584" s="197"/>
      <c r="BA584" s="197"/>
      <c r="BB584" s="197"/>
      <c r="BC584" s="197"/>
      <c r="BD584" s="197"/>
      <c r="BE584" s="197"/>
      <c r="BF584" s="197"/>
      <c r="BG584" s="197"/>
      <c r="BH584" s="197"/>
      <c r="BI584" s="197"/>
      <c r="BJ584" s="197"/>
      <c r="BK584" s="197"/>
      <c r="BL584" s="197"/>
      <c r="BM584" s="197"/>
      <c r="BN584" s="197"/>
      <c r="BO584" s="197"/>
      <c r="BP584" s="197"/>
      <c r="BQ584" s="197"/>
      <c r="BR584" s="197"/>
      <c r="BS584" s="197"/>
      <c r="BT584" s="197"/>
    </row>
    <row r="585">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c r="AA585" s="197"/>
      <c r="AB585" s="197"/>
      <c r="AC585" s="197"/>
      <c r="AD585" s="197"/>
      <c r="AE585" s="197"/>
      <c r="AF585" s="197"/>
      <c r="AG585" s="197"/>
      <c r="AH585" s="197"/>
      <c r="AI585" s="197"/>
      <c r="AJ585" s="197"/>
      <c r="AK585" s="197"/>
      <c r="AL585" s="197"/>
      <c r="AM585" s="197"/>
      <c r="AN585" s="197"/>
      <c r="AO585" s="197"/>
      <c r="AP585" s="197"/>
      <c r="AQ585" s="197"/>
      <c r="AR585" s="197"/>
      <c r="AS585" s="197"/>
      <c r="AT585" s="197"/>
      <c r="AU585" s="197"/>
      <c r="AV585" s="197"/>
      <c r="AW585" s="197"/>
      <c r="AX585" s="197"/>
      <c r="AY585" s="197"/>
      <c r="AZ585" s="197"/>
      <c r="BA585" s="197"/>
      <c r="BB585" s="197"/>
      <c r="BC585" s="197"/>
      <c r="BD585" s="197"/>
      <c r="BE585" s="197"/>
      <c r="BF585" s="197"/>
      <c r="BG585" s="197"/>
      <c r="BH585" s="197"/>
      <c r="BI585" s="197"/>
      <c r="BJ585" s="197"/>
      <c r="BK585" s="197"/>
      <c r="BL585" s="197"/>
      <c r="BM585" s="197"/>
      <c r="BN585" s="197"/>
      <c r="BO585" s="197"/>
      <c r="BP585" s="197"/>
      <c r="BQ585" s="197"/>
      <c r="BR585" s="197"/>
      <c r="BS585" s="197"/>
      <c r="BT585" s="197"/>
    </row>
    <row r="586">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c r="AA586" s="197"/>
      <c r="AB586" s="197"/>
      <c r="AC586" s="197"/>
      <c r="AD586" s="197"/>
      <c r="AE586" s="197"/>
      <c r="AF586" s="197"/>
      <c r="AG586" s="197"/>
      <c r="AH586" s="197"/>
      <c r="AI586" s="197"/>
      <c r="AJ586" s="197"/>
      <c r="AK586" s="197"/>
      <c r="AL586" s="197"/>
      <c r="AM586" s="197"/>
      <c r="AN586" s="197"/>
      <c r="AO586" s="197"/>
      <c r="AP586" s="197"/>
      <c r="AQ586" s="197"/>
      <c r="AR586" s="197"/>
      <c r="AS586" s="197"/>
      <c r="AT586" s="197"/>
      <c r="AU586" s="197"/>
      <c r="AV586" s="197"/>
      <c r="AW586" s="197"/>
      <c r="AX586" s="197"/>
      <c r="AY586" s="197"/>
      <c r="AZ586" s="197"/>
      <c r="BA586" s="197"/>
      <c r="BB586" s="197"/>
      <c r="BC586" s="197"/>
      <c r="BD586" s="197"/>
      <c r="BE586" s="197"/>
      <c r="BF586" s="197"/>
      <c r="BG586" s="197"/>
      <c r="BH586" s="197"/>
      <c r="BI586" s="197"/>
      <c r="BJ586" s="197"/>
      <c r="BK586" s="197"/>
      <c r="BL586" s="197"/>
      <c r="BM586" s="197"/>
      <c r="BN586" s="197"/>
      <c r="BO586" s="197"/>
      <c r="BP586" s="197"/>
      <c r="BQ586" s="197"/>
      <c r="BR586" s="197"/>
      <c r="BS586" s="197"/>
      <c r="BT586" s="197"/>
    </row>
    <row r="587">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c r="AA587" s="197"/>
      <c r="AB587" s="197"/>
      <c r="AC587" s="197"/>
      <c r="AD587" s="197"/>
      <c r="AE587" s="197"/>
      <c r="AF587" s="197"/>
      <c r="AG587" s="197"/>
      <c r="AH587" s="197"/>
      <c r="AI587" s="197"/>
      <c r="AJ587" s="197"/>
      <c r="AK587" s="197"/>
      <c r="AL587" s="197"/>
      <c r="AM587" s="197"/>
      <c r="AN587" s="197"/>
      <c r="AO587" s="197"/>
      <c r="AP587" s="197"/>
      <c r="AQ587" s="197"/>
      <c r="AR587" s="197"/>
      <c r="AS587" s="197"/>
      <c r="AT587" s="197"/>
      <c r="AU587" s="197"/>
      <c r="AV587" s="197"/>
      <c r="AW587" s="197"/>
      <c r="AX587" s="197"/>
      <c r="AY587" s="197"/>
      <c r="AZ587" s="197"/>
      <c r="BA587" s="197"/>
      <c r="BB587" s="197"/>
      <c r="BC587" s="197"/>
      <c r="BD587" s="197"/>
      <c r="BE587" s="197"/>
      <c r="BF587" s="197"/>
      <c r="BG587" s="197"/>
      <c r="BH587" s="197"/>
      <c r="BI587" s="197"/>
      <c r="BJ587" s="197"/>
      <c r="BK587" s="197"/>
      <c r="BL587" s="197"/>
      <c r="BM587" s="197"/>
      <c r="BN587" s="197"/>
      <c r="BO587" s="197"/>
      <c r="BP587" s="197"/>
      <c r="BQ587" s="197"/>
      <c r="BR587" s="197"/>
      <c r="BS587" s="197"/>
      <c r="BT587" s="197"/>
    </row>
    <row r="588">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c r="AA588" s="197"/>
      <c r="AB588" s="197"/>
      <c r="AC588" s="197"/>
      <c r="AD588" s="197"/>
      <c r="AE588" s="197"/>
      <c r="AF588" s="197"/>
      <c r="AG588" s="197"/>
      <c r="AH588" s="197"/>
      <c r="AI588" s="197"/>
      <c r="AJ588" s="197"/>
      <c r="AK588" s="197"/>
      <c r="AL588" s="197"/>
      <c r="AM588" s="197"/>
      <c r="AN588" s="197"/>
      <c r="AO588" s="197"/>
      <c r="AP588" s="197"/>
      <c r="AQ588" s="197"/>
      <c r="AR588" s="197"/>
      <c r="AS588" s="197"/>
      <c r="AT588" s="197"/>
      <c r="AU588" s="197"/>
      <c r="AV588" s="197"/>
      <c r="AW588" s="197"/>
      <c r="AX588" s="197"/>
      <c r="AY588" s="197"/>
      <c r="AZ588" s="197"/>
      <c r="BA588" s="197"/>
      <c r="BB588" s="197"/>
      <c r="BC588" s="197"/>
      <c r="BD588" s="197"/>
      <c r="BE588" s="197"/>
      <c r="BF588" s="197"/>
      <c r="BG588" s="197"/>
      <c r="BH588" s="197"/>
      <c r="BI588" s="197"/>
      <c r="BJ588" s="197"/>
      <c r="BK588" s="197"/>
      <c r="BL588" s="197"/>
      <c r="BM588" s="197"/>
      <c r="BN588" s="197"/>
      <c r="BO588" s="197"/>
      <c r="BP588" s="197"/>
      <c r="BQ588" s="197"/>
      <c r="BR588" s="197"/>
      <c r="BS588" s="197"/>
      <c r="BT588" s="197"/>
    </row>
    <row r="589">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c r="AA589" s="197"/>
      <c r="AB589" s="197"/>
      <c r="AC589" s="197"/>
      <c r="AD589" s="197"/>
      <c r="AE589" s="197"/>
      <c r="AF589" s="197"/>
      <c r="AG589" s="197"/>
      <c r="AH589" s="197"/>
      <c r="AI589" s="197"/>
      <c r="AJ589" s="197"/>
      <c r="AK589" s="197"/>
      <c r="AL589" s="197"/>
      <c r="AM589" s="197"/>
      <c r="AN589" s="197"/>
      <c r="AO589" s="197"/>
      <c r="AP589" s="197"/>
      <c r="AQ589" s="197"/>
      <c r="AR589" s="197"/>
      <c r="AS589" s="197"/>
      <c r="AT589" s="197"/>
      <c r="AU589" s="197"/>
      <c r="AV589" s="197"/>
      <c r="AW589" s="197"/>
      <c r="AX589" s="197"/>
      <c r="AY589" s="197"/>
      <c r="AZ589" s="197"/>
      <c r="BA589" s="197"/>
      <c r="BB589" s="197"/>
      <c r="BC589" s="197"/>
      <c r="BD589" s="197"/>
      <c r="BE589" s="197"/>
      <c r="BF589" s="197"/>
      <c r="BG589" s="197"/>
      <c r="BH589" s="197"/>
      <c r="BI589" s="197"/>
      <c r="BJ589" s="197"/>
      <c r="BK589" s="197"/>
      <c r="BL589" s="197"/>
      <c r="BM589" s="197"/>
      <c r="BN589" s="197"/>
      <c r="BO589" s="197"/>
      <c r="BP589" s="197"/>
      <c r="BQ589" s="197"/>
      <c r="BR589" s="197"/>
      <c r="BS589" s="197"/>
      <c r="BT589" s="197"/>
    </row>
    <row r="590">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c r="AA590" s="197"/>
      <c r="AB590" s="197"/>
      <c r="AC590" s="197"/>
      <c r="AD590" s="197"/>
      <c r="AE590" s="197"/>
      <c r="AF590" s="197"/>
      <c r="AG590" s="197"/>
      <c r="AH590" s="197"/>
      <c r="AI590" s="197"/>
      <c r="AJ590" s="197"/>
      <c r="AK590" s="197"/>
      <c r="AL590" s="197"/>
      <c r="AM590" s="197"/>
      <c r="AN590" s="197"/>
      <c r="AO590" s="197"/>
      <c r="AP590" s="197"/>
      <c r="AQ590" s="197"/>
      <c r="AR590" s="197"/>
      <c r="AS590" s="197"/>
      <c r="AT590" s="197"/>
      <c r="AU590" s="197"/>
      <c r="AV590" s="197"/>
      <c r="AW590" s="197"/>
      <c r="AX590" s="197"/>
      <c r="AY590" s="197"/>
      <c r="AZ590" s="197"/>
      <c r="BA590" s="197"/>
      <c r="BB590" s="197"/>
      <c r="BC590" s="197"/>
      <c r="BD590" s="197"/>
      <c r="BE590" s="197"/>
      <c r="BF590" s="197"/>
      <c r="BG590" s="197"/>
      <c r="BH590" s="197"/>
      <c r="BI590" s="197"/>
      <c r="BJ590" s="197"/>
      <c r="BK590" s="197"/>
      <c r="BL590" s="197"/>
      <c r="BM590" s="197"/>
      <c r="BN590" s="197"/>
      <c r="BO590" s="197"/>
      <c r="BP590" s="197"/>
      <c r="BQ590" s="197"/>
      <c r="BR590" s="197"/>
      <c r="BS590" s="197"/>
      <c r="BT590" s="197"/>
    </row>
    <row r="591">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c r="AA591" s="197"/>
      <c r="AB591" s="197"/>
      <c r="AC591" s="197"/>
      <c r="AD591" s="197"/>
      <c r="AE591" s="197"/>
      <c r="AF591" s="197"/>
      <c r="AG591" s="197"/>
      <c r="AH591" s="197"/>
      <c r="AI591" s="197"/>
      <c r="AJ591" s="197"/>
      <c r="AK591" s="197"/>
      <c r="AL591" s="197"/>
      <c r="AM591" s="197"/>
      <c r="AN591" s="197"/>
      <c r="AO591" s="197"/>
      <c r="AP591" s="197"/>
      <c r="AQ591" s="197"/>
      <c r="AR591" s="197"/>
      <c r="AS591" s="197"/>
      <c r="AT591" s="197"/>
      <c r="AU591" s="197"/>
      <c r="AV591" s="197"/>
      <c r="AW591" s="197"/>
      <c r="AX591" s="197"/>
      <c r="AY591" s="197"/>
      <c r="AZ591" s="197"/>
      <c r="BA591" s="197"/>
      <c r="BB591" s="197"/>
      <c r="BC591" s="197"/>
      <c r="BD591" s="197"/>
      <c r="BE591" s="197"/>
      <c r="BF591" s="197"/>
      <c r="BG591" s="197"/>
      <c r="BH591" s="197"/>
      <c r="BI591" s="197"/>
      <c r="BJ591" s="197"/>
      <c r="BK591" s="197"/>
      <c r="BL591" s="197"/>
      <c r="BM591" s="197"/>
      <c r="BN591" s="197"/>
      <c r="BO591" s="197"/>
      <c r="BP591" s="197"/>
      <c r="BQ591" s="197"/>
      <c r="BR591" s="197"/>
      <c r="BS591" s="197"/>
      <c r="BT591" s="197"/>
    </row>
    <row r="592">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c r="AA592" s="197"/>
      <c r="AB592" s="197"/>
      <c r="AC592" s="197"/>
      <c r="AD592" s="197"/>
      <c r="AE592" s="197"/>
      <c r="AF592" s="197"/>
      <c r="AG592" s="197"/>
      <c r="AH592" s="197"/>
      <c r="AI592" s="197"/>
      <c r="AJ592" s="197"/>
      <c r="AK592" s="197"/>
      <c r="AL592" s="197"/>
      <c r="AM592" s="197"/>
      <c r="AN592" s="197"/>
      <c r="AO592" s="197"/>
      <c r="AP592" s="197"/>
      <c r="AQ592" s="197"/>
      <c r="AR592" s="197"/>
      <c r="AS592" s="197"/>
      <c r="AT592" s="197"/>
      <c r="AU592" s="197"/>
      <c r="AV592" s="197"/>
      <c r="AW592" s="197"/>
      <c r="AX592" s="197"/>
      <c r="AY592" s="197"/>
      <c r="AZ592" s="197"/>
      <c r="BA592" s="197"/>
      <c r="BB592" s="197"/>
      <c r="BC592" s="197"/>
      <c r="BD592" s="197"/>
      <c r="BE592" s="197"/>
      <c r="BF592" s="197"/>
      <c r="BG592" s="197"/>
      <c r="BH592" s="197"/>
      <c r="BI592" s="197"/>
      <c r="BJ592" s="197"/>
      <c r="BK592" s="197"/>
      <c r="BL592" s="197"/>
      <c r="BM592" s="197"/>
      <c r="BN592" s="197"/>
      <c r="BO592" s="197"/>
      <c r="BP592" s="197"/>
      <c r="BQ592" s="197"/>
      <c r="BR592" s="197"/>
      <c r="BS592" s="197"/>
      <c r="BT592" s="197"/>
    </row>
    <row r="593">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c r="AA593" s="197"/>
      <c r="AB593" s="197"/>
      <c r="AC593" s="197"/>
      <c r="AD593" s="197"/>
      <c r="AE593" s="197"/>
      <c r="AF593" s="197"/>
      <c r="AG593" s="197"/>
      <c r="AH593" s="197"/>
      <c r="AI593" s="197"/>
      <c r="AJ593" s="197"/>
      <c r="AK593" s="197"/>
      <c r="AL593" s="197"/>
      <c r="AM593" s="197"/>
      <c r="AN593" s="197"/>
      <c r="AO593" s="197"/>
      <c r="AP593" s="197"/>
      <c r="AQ593" s="197"/>
      <c r="AR593" s="197"/>
      <c r="AS593" s="197"/>
      <c r="AT593" s="197"/>
      <c r="AU593" s="197"/>
      <c r="AV593" s="197"/>
      <c r="AW593" s="197"/>
      <c r="AX593" s="197"/>
      <c r="AY593" s="197"/>
      <c r="AZ593" s="197"/>
      <c r="BA593" s="197"/>
      <c r="BB593" s="197"/>
      <c r="BC593" s="197"/>
      <c r="BD593" s="197"/>
      <c r="BE593" s="197"/>
      <c r="BF593" s="197"/>
      <c r="BG593" s="197"/>
      <c r="BH593" s="197"/>
      <c r="BI593" s="197"/>
      <c r="BJ593" s="197"/>
      <c r="BK593" s="197"/>
      <c r="BL593" s="197"/>
      <c r="BM593" s="197"/>
      <c r="BN593" s="197"/>
      <c r="BO593" s="197"/>
      <c r="BP593" s="197"/>
      <c r="BQ593" s="197"/>
      <c r="BR593" s="197"/>
      <c r="BS593" s="197"/>
      <c r="BT593" s="197"/>
    </row>
    <row r="594">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c r="AA594" s="197"/>
      <c r="AB594" s="197"/>
      <c r="AC594" s="197"/>
      <c r="AD594" s="197"/>
      <c r="AE594" s="197"/>
      <c r="AF594" s="197"/>
      <c r="AG594" s="197"/>
      <c r="AH594" s="197"/>
      <c r="AI594" s="197"/>
      <c r="AJ594" s="197"/>
      <c r="AK594" s="197"/>
      <c r="AL594" s="197"/>
      <c r="AM594" s="197"/>
      <c r="AN594" s="197"/>
      <c r="AO594" s="197"/>
      <c r="AP594" s="197"/>
      <c r="AQ594" s="197"/>
      <c r="AR594" s="197"/>
      <c r="AS594" s="197"/>
      <c r="AT594" s="197"/>
      <c r="AU594" s="197"/>
      <c r="AV594" s="197"/>
      <c r="AW594" s="197"/>
      <c r="AX594" s="197"/>
      <c r="AY594" s="197"/>
      <c r="AZ594" s="197"/>
      <c r="BA594" s="197"/>
      <c r="BB594" s="197"/>
      <c r="BC594" s="197"/>
      <c r="BD594" s="197"/>
      <c r="BE594" s="197"/>
      <c r="BF594" s="197"/>
      <c r="BG594" s="197"/>
      <c r="BH594" s="197"/>
      <c r="BI594" s="197"/>
      <c r="BJ594" s="197"/>
      <c r="BK594" s="197"/>
      <c r="BL594" s="197"/>
      <c r="BM594" s="197"/>
      <c r="BN594" s="197"/>
      <c r="BO594" s="197"/>
      <c r="BP594" s="197"/>
      <c r="BQ594" s="197"/>
      <c r="BR594" s="197"/>
      <c r="BS594" s="197"/>
      <c r="BT594" s="197"/>
    </row>
    <row r="595">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c r="AA595" s="197"/>
      <c r="AB595" s="197"/>
      <c r="AC595" s="197"/>
      <c r="AD595" s="197"/>
      <c r="AE595" s="197"/>
      <c r="AF595" s="197"/>
      <c r="AG595" s="197"/>
      <c r="AH595" s="197"/>
      <c r="AI595" s="197"/>
      <c r="AJ595" s="197"/>
      <c r="AK595" s="197"/>
      <c r="AL595" s="197"/>
      <c r="AM595" s="197"/>
      <c r="AN595" s="197"/>
      <c r="AO595" s="197"/>
      <c r="AP595" s="197"/>
      <c r="AQ595" s="197"/>
      <c r="AR595" s="197"/>
      <c r="AS595" s="197"/>
      <c r="AT595" s="197"/>
      <c r="AU595" s="197"/>
      <c r="AV595" s="197"/>
      <c r="AW595" s="197"/>
      <c r="AX595" s="197"/>
      <c r="AY595" s="197"/>
      <c r="AZ595" s="197"/>
      <c r="BA595" s="197"/>
      <c r="BB595" s="197"/>
      <c r="BC595" s="197"/>
      <c r="BD595" s="197"/>
      <c r="BE595" s="197"/>
      <c r="BF595" s="197"/>
      <c r="BG595" s="197"/>
      <c r="BH595" s="197"/>
      <c r="BI595" s="197"/>
      <c r="BJ595" s="197"/>
      <c r="BK595" s="197"/>
      <c r="BL595" s="197"/>
      <c r="BM595" s="197"/>
      <c r="BN595" s="197"/>
      <c r="BO595" s="197"/>
      <c r="BP595" s="197"/>
      <c r="BQ595" s="197"/>
      <c r="BR595" s="197"/>
      <c r="BS595" s="197"/>
      <c r="BT595" s="197"/>
    </row>
    <row r="596">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c r="AA596" s="197"/>
      <c r="AB596" s="197"/>
      <c r="AC596" s="197"/>
      <c r="AD596" s="197"/>
      <c r="AE596" s="197"/>
      <c r="AF596" s="197"/>
      <c r="AG596" s="197"/>
      <c r="AH596" s="197"/>
      <c r="AI596" s="197"/>
      <c r="AJ596" s="197"/>
      <c r="AK596" s="197"/>
      <c r="AL596" s="197"/>
      <c r="AM596" s="197"/>
      <c r="AN596" s="197"/>
      <c r="AO596" s="197"/>
      <c r="AP596" s="197"/>
      <c r="AQ596" s="197"/>
      <c r="AR596" s="197"/>
      <c r="AS596" s="197"/>
      <c r="AT596" s="197"/>
      <c r="AU596" s="197"/>
      <c r="AV596" s="197"/>
      <c r="AW596" s="197"/>
      <c r="AX596" s="197"/>
      <c r="AY596" s="197"/>
      <c r="AZ596" s="197"/>
      <c r="BA596" s="197"/>
      <c r="BB596" s="197"/>
      <c r="BC596" s="197"/>
      <c r="BD596" s="197"/>
      <c r="BE596" s="197"/>
      <c r="BF596" s="197"/>
      <c r="BG596" s="197"/>
      <c r="BH596" s="197"/>
      <c r="BI596" s="197"/>
      <c r="BJ596" s="197"/>
      <c r="BK596" s="197"/>
      <c r="BL596" s="197"/>
      <c r="BM596" s="197"/>
      <c r="BN596" s="197"/>
      <c r="BO596" s="197"/>
      <c r="BP596" s="197"/>
      <c r="BQ596" s="197"/>
      <c r="BR596" s="197"/>
      <c r="BS596" s="197"/>
      <c r="BT596" s="197"/>
    </row>
    <row r="597">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c r="AA597" s="197"/>
      <c r="AB597" s="197"/>
      <c r="AC597" s="197"/>
      <c r="AD597" s="197"/>
      <c r="AE597" s="197"/>
      <c r="AF597" s="197"/>
      <c r="AG597" s="197"/>
      <c r="AH597" s="197"/>
      <c r="AI597" s="197"/>
      <c r="AJ597" s="197"/>
      <c r="AK597" s="197"/>
      <c r="AL597" s="197"/>
      <c r="AM597" s="197"/>
      <c r="AN597" s="197"/>
      <c r="AO597" s="197"/>
      <c r="AP597" s="197"/>
      <c r="AQ597" s="197"/>
      <c r="AR597" s="197"/>
      <c r="AS597" s="197"/>
      <c r="AT597" s="197"/>
      <c r="AU597" s="197"/>
      <c r="AV597" s="197"/>
      <c r="AW597" s="197"/>
      <c r="AX597" s="197"/>
      <c r="AY597" s="197"/>
      <c r="AZ597" s="197"/>
      <c r="BA597" s="197"/>
      <c r="BB597" s="197"/>
      <c r="BC597" s="197"/>
      <c r="BD597" s="197"/>
      <c r="BE597" s="197"/>
      <c r="BF597" s="197"/>
      <c r="BG597" s="197"/>
      <c r="BH597" s="197"/>
      <c r="BI597" s="197"/>
      <c r="BJ597" s="197"/>
      <c r="BK597" s="197"/>
      <c r="BL597" s="197"/>
      <c r="BM597" s="197"/>
      <c r="BN597" s="197"/>
      <c r="BO597" s="197"/>
      <c r="BP597" s="197"/>
      <c r="BQ597" s="197"/>
      <c r="BR597" s="197"/>
      <c r="BS597" s="197"/>
      <c r="BT597" s="197"/>
    </row>
    <row r="598">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c r="AA598" s="197"/>
      <c r="AB598" s="197"/>
      <c r="AC598" s="197"/>
      <c r="AD598" s="197"/>
      <c r="AE598" s="197"/>
      <c r="AF598" s="197"/>
      <c r="AG598" s="197"/>
      <c r="AH598" s="197"/>
      <c r="AI598" s="197"/>
      <c r="AJ598" s="197"/>
      <c r="AK598" s="197"/>
      <c r="AL598" s="197"/>
      <c r="AM598" s="197"/>
      <c r="AN598" s="197"/>
      <c r="AO598" s="197"/>
      <c r="AP598" s="197"/>
      <c r="AQ598" s="197"/>
      <c r="AR598" s="197"/>
      <c r="AS598" s="197"/>
      <c r="AT598" s="197"/>
      <c r="AU598" s="197"/>
      <c r="AV598" s="197"/>
      <c r="AW598" s="197"/>
      <c r="AX598" s="197"/>
      <c r="AY598" s="197"/>
      <c r="AZ598" s="197"/>
      <c r="BA598" s="197"/>
      <c r="BB598" s="197"/>
      <c r="BC598" s="197"/>
      <c r="BD598" s="197"/>
      <c r="BE598" s="197"/>
      <c r="BF598" s="197"/>
      <c r="BG598" s="197"/>
      <c r="BH598" s="197"/>
      <c r="BI598" s="197"/>
      <c r="BJ598" s="197"/>
      <c r="BK598" s="197"/>
      <c r="BL598" s="197"/>
      <c r="BM598" s="197"/>
      <c r="BN598" s="197"/>
      <c r="BO598" s="197"/>
      <c r="BP598" s="197"/>
      <c r="BQ598" s="197"/>
      <c r="BR598" s="197"/>
      <c r="BS598" s="197"/>
      <c r="BT598" s="197"/>
    </row>
    <row r="599">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c r="AA599" s="197"/>
      <c r="AB599" s="197"/>
      <c r="AC599" s="197"/>
      <c r="AD599" s="197"/>
      <c r="AE599" s="197"/>
      <c r="AF599" s="197"/>
      <c r="AG599" s="197"/>
      <c r="AH599" s="197"/>
      <c r="AI599" s="197"/>
      <c r="AJ599" s="197"/>
      <c r="AK599" s="197"/>
      <c r="AL599" s="197"/>
      <c r="AM599" s="197"/>
      <c r="AN599" s="197"/>
      <c r="AO599" s="197"/>
      <c r="AP599" s="197"/>
      <c r="AQ599" s="197"/>
      <c r="AR599" s="197"/>
      <c r="AS599" s="197"/>
      <c r="AT599" s="197"/>
      <c r="AU599" s="197"/>
      <c r="AV599" s="197"/>
      <c r="AW599" s="197"/>
      <c r="AX599" s="197"/>
      <c r="AY599" s="197"/>
      <c r="AZ599" s="197"/>
      <c r="BA599" s="197"/>
      <c r="BB599" s="197"/>
      <c r="BC599" s="197"/>
      <c r="BD599" s="197"/>
      <c r="BE599" s="197"/>
      <c r="BF599" s="197"/>
      <c r="BG599" s="197"/>
      <c r="BH599" s="197"/>
      <c r="BI599" s="197"/>
      <c r="BJ599" s="197"/>
      <c r="BK599" s="197"/>
      <c r="BL599" s="197"/>
      <c r="BM599" s="197"/>
      <c r="BN599" s="197"/>
      <c r="BO599" s="197"/>
      <c r="BP599" s="197"/>
      <c r="BQ599" s="197"/>
      <c r="BR599" s="197"/>
      <c r="BS599" s="197"/>
      <c r="BT599" s="197"/>
    </row>
    <row r="600">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c r="AA600" s="197"/>
      <c r="AB600" s="197"/>
      <c r="AC600" s="197"/>
      <c r="AD600" s="197"/>
      <c r="AE600" s="197"/>
      <c r="AF600" s="197"/>
      <c r="AG600" s="197"/>
      <c r="AH600" s="197"/>
      <c r="AI600" s="197"/>
      <c r="AJ600" s="197"/>
      <c r="AK600" s="197"/>
      <c r="AL600" s="197"/>
      <c r="AM600" s="197"/>
      <c r="AN600" s="197"/>
      <c r="AO600" s="197"/>
      <c r="AP600" s="197"/>
      <c r="AQ600" s="197"/>
      <c r="AR600" s="197"/>
      <c r="AS600" s="197"/>
      <c r="AT600" s="197"/>
      <c r="AU600" s="197"/>
      <c r="AV600" s="197"/>
      <c r="AW600" s="197"/>
      <c r="AX600" s="197"/>
      <c r="AY600" s="197"/>
      <c r="AZ600" s="197"/>
      <c r="BA600" s="197"/>
      <c r="BB600" s="197"/>
      <c r="BC600" s="197"/>
      <c r="BD600" s="197"/>
      <c r="BE600" s="197"/>
      <c r="BF600" s="197"/>
      <c r="BG600" s="197"/>
      <c r="BH600" s="197"/>
      <c r="BI600" s="197"/>
      <c r="BJ600" s="197"/>
      <c r="BK600" s="197"/>
      <c r="BL600" s="197"/>
      <c r="BM600" s="197"/>
      <c r="BN600" s="197"/>
      <c r="BO600" s="197"/>
      <c r="BP600" s="197"/>
      <c r="BQ600" s="197"/>
      <c r="BR600" s="197"/>
      <c r="BS600" s="197"/>
      <c r="BT600" s="197"/>
    </row>
    <row r="601">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c r="AA601" s="197"/>
      <c r="AB601" s="197"/>
      <c r="AC601" s="197"/>
      <c r="AD601" s="197"/>
      <c r="AE601" s="197"/>
      <c r="AF601" s="197"/>
      <c r="AG601" s="197"/>
      <c r="AH601" s="197"/>
      <c r="AI601" s="197"/>
      <c r="AJ601" s="197"/>
      <c r="AK601" s="197"/>
      <c r="AL601" s="197"/>
      <c r="AM601" s="197"/>
      <c r="AN601" s="197"/>
      <c r="AO601" s="197"/>
      <c r="AP601" s="197"/>
      <c r="AQ601" s="197"/>
      <c r="AR601" s="197"/>
      <c r="AS601" s="197"/>
      <c r="AT601" s="197"/>
      <c r="AU601" s="197"/>
      <c r="AV601" s="197"/>
      <c r="AW601" s="197"/>
      <c r="AX601" s="197"/>
      <c r="AY601" s="197"/>
      <c r="AZ601" s="197"/>
      <c r="BA601" s="197"/>
      <c r="BB601" s="197"/>
      <c r="BC601" s="197"/>
      <c r="BD601" s="197"/>
      <c r="BE601" s="197"/>
      <c r="BF601" s="197"/>
      <c r="BG601" s="197"/>
      <c r="BH601" s="197"/>
      <c r="BI601" s="197"/>
      <c r="BJ601" s="197"/>
      <c r="BK601" s="197"/>
      <c r="BL601" s="197"/>
      <c r="BM601" s="197"/>
      <c r="BN601" s="197"/>
      <c r="BO601" s="197"/>
      <c r="BP601" s="197"/>
      <c r="BQ601" s="197"/>
      <c r="BR601" s="197"/>
      <c r="BS601" s="197"/>
      <c r="BT601" s="197"/>
    </row>
    <row r="602">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c r="AA602" s="197"/>
      <c r="AB602" s="197"/>
      <c r="AC602" s="197"/>
      <c r="AD602" s="197"/>
      <c r="AE602" s="197"/>
      <c r="AF602" s="197"/>
      <c r="AG602" s="197"/>
      <c r="AH602" s="197"/>
      <c r="AI602" s="197"/>
      <c r="AJ602" s="197"/>
      <c r="AK602" s="197"/>
      <c r="AL602" s="197"/>
      <c r="AM602" s="197"/>
      <c r="AN602" s="197"/>
      <c r="AO602" s="197"/>
      <c r="AP602" s="197"/>
      <c r="AQ602" s="197"/>
      <c r="AR602" s="197"/>
      <c r="AS602" s="197"/>
      <c r="AT602" s="197"/>
      <c r="AU602" s="197"/>
      <c r="AV602" s="197"/>
      <c r="AW602" s="197"/>
      <c r="AX602" s="197"/>
      <c r="AY602" s="197"/>
      <c r="AZ602" s="197"/>
      <c r="BA602" s="197"/>
      <c r="BB602" s="197"/>
      <c r="BC602" s="197"/>
      <c r="BD602" s="197"/>
      <c r="BE602" s="197"/>
      <c r="BF602" s="197"/>
      <c r="BG602" s="197"/>
      <c r="BH602" s="197"/>
      <c r="BI602" s="197"/>
      <c r="BJ602" s="197"/>
      <c r="BK602" s="197"/>
      <c r="BL602" s="197"/>
      <c r="BM602" s="197"/>
      <c r="BN602" s="197"/>
      <c r="BO602" s="197"/>
      <c r="BP602" s="197"/>
      <c r="BQ602" s="197"/>
      <c r="BR602" s="197"/>
      <c r="BS602" s="197"/>
      <c r="BT602" s="197"/>
    </row>
    <row r="603">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c r="AA603" s="197"/>
      <c r="AB603" s="197"/>
      <c r="AC603" s="197"/>
      <c r="AD603" s="197"/>
      <c r="AE603" s="197"/>
      <c r="AF603" s="197"/>
      <c r="AG603" s="197"/>
      <c r="AH603" s="197"/>
      <c r="AI603" s="197"/>
      <c r="AJ603" s="197"/>
      <c r="AK603" s="197"/>
      <c r="AL603" s="197"/>
      <c r="AM603" s="197"/>
      <c r="AN603" s="197"/>
      <c r="AO603" s="197"/>
      <c r="AP603" s="197"/>
      <c r="AQ603" s="197"/>
      <c r="AR603" s="197"/>
      <c r="AS603" s="197"/>
      <c r="AT603" s="197"/>
      <c r="AU603" s="197"/>
      <c r="AV603" s="197"/>
      <c r="AW603" s="197"/>
      <c r="AX603" s="197"/>
      <c r="AY603" s="197"/>
      <c r="AZ603" s="197"/>
      <c r="BA603" s="197"/>
      <c r="BB603" s="197"/>
      <c r="BC603" s="197"/>
      <c r="BD603" s="197"/>
      <c r="BE603" s="197"/>
      <c r="BF603" s="197"/>
      <c r="BG603" s="197"/>
      <c r="BH603" s="197"/>
      <c r="BI603" s="197"/>
      <c r="BJ603" s="197"/>
      <c r="BK603" s="197"/>
      <c r="BL603" s="197"/>
      <c r="BM603" s="197"/>
      <c r="BN603" s="197"/>
      <c r="BO603" s="197"/>
      <c r="BP603" s="197"/>
      <c r="BQ603" s="197"/>
      <c r="BR603" s="197"/>
      <c r="BS603" s="197"/>
      <c r="BT603" s="197"/>
    </row>
    <row r="604">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c r="AA604" s="197"/>
      <c r="AB604" s="197"/>
      <c r="AC604" s="197"/>
      <c r="AD604" s="197"/>
      <c r="AE604" s="197"/>
      <c r="AF604" s="197"/>
      <c r="AG604" s="197"/>
      <c r="AH604" s="197"/>
      <c r="AI604" s="197"/>
      <c r="AJ604" s="197"/>
      <c r="AK604" s="197"/>
      <c r="AL604" s="197"/>
      <c r="AM604" s="197"/>
      <c r="AN604" s="197"/>
      <c r="AO604" s="197"/>
      <c r="AP604" s="197"/>
      <c r="AQ604" s="197"/>
      <c r="AR604" s="197"/>
      <c r="AS604" s="197"/>
      <c r="AT604" s="197"/>
      <c r="AU604" s="197"/>
      <c r="AV604" s="197"/>
      <c r="AW604" s="197"/>
      <c r="AX604" s="197"/>
      <c r="AY604" s="197"/>
      <c r="AZ604" s="197"/>
      <c r="BA604" s="197"/>
      <c r="BB604" s="197"/>
      <c r="BC604" s="197"/>
      <c r="BD604" s="197"/>
      <c r="BE604" s="197"/>
      <c r="BF604" s="197"/>
      <c r="BG604" s="197"/>
      <c r="BH604" s="197"/>
      <c r="BI604" s="197"/>
      <c r="BJ604" s="197"/>
      <c r="BK604" s="197"/>
      <c r="BL604" s="197"/>
      <c r="BM604" s="197"/>
      <c r="BN604" s="197"/>
      <c r="BO604" s="197"/>
      <c r="BP604" s="197"/>
      <c r="BQ604" s="197"/>
      <c r="BR604" s="197"/>
      <c r="BS604" s="197"/>
      <c r="BT604" s="197"/>
    </row>
    <row r="605">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c r="AA605" s="197"/>
      <c r="AB605" s="197"/>
      <c r="AC605" s="197"/>
      <c r="AD605" s="197"/>
      <c r="AE605" s="197"/>
      <c r="AF605" s="197"/>
      <c r="AG605" s="197"/>
      <c r="AH605" s="197"/>
      <c r="AI605" s="197"/>
      <c r="AJ605" s="197"/>
      <c r="AK605" s="197"/>
      <c r="AL605" s="197"/>
      <c r="AM605" s="197"/>
      <c r="AN605" s="197"/>
      <c r="AO605" s="197"/>
      <c r="AP605" s="197"/>
      <c r="AQ605" s="197"/>
      <c r="AR605" s="197"/>
      <c r="AS605" s="197"/>
      <c r="AT605" s="197"/>
      <c r="AU605" s="197"/>
      <c r="AV605" s="197"/>
      <c r="AW605" s="197"/>
      <c r="AX605" s="197"/>
      <c r="AY605" s="197"/>
      <c r="AZ605" s="197"/>
      <c r="BA605" s="197"/>
      <c r="BB605" s="197"/>
      <c r="BC605" s="197"/>
      <c r="BD605" s="197"/>
      <c r="BE605" s="197"/>
      <c r="BF605" s="197"/>
      <c r="BG605" s="197"/>
      <c r="BH605" s="197"/>
      <c r="BI605" s="197"/>
      <c r="BJ605" s="197"/>
      <c r="BK605" s="197"/>
      <c r="BL605" s="197"/>
      <c r="BM605" s="197"/>
      <c r="BN605" s="197"/>
      <c r="BO605" s="197"/>
      <c r="BP605" s="197"/>
      <c r="BQ605" s="197"/>
      <c r="BR605" s="197"/>
      <c r="BS605" s="197"/>
      <c r="BT605" s="197"/>
    </row>
    <row r="606">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c r="AA606" s="197"/>
      <c r="AB606" s="197"/>
      <c r="AC606" s="197"/>
      <c r="AD606" s="197"/>
      <c r="AE606" s="197"/>
      <c r="AF606" s="197"/>
      <c r="AG606" s="197"/>
      <c r="AH606" s="197"/>
      <c r="AI606" s="197"/>
      <c r="AJ606" s="197"/>
      <c r="AK606" s="197"/>
      <c r="AL606" s="197"/>
      <c r="AM606" s="197"/>
      <c r="AN606" s="197"/>
      <c r="AO606" s="197"/>
      <c r="AP606" s="197"/>
      <c r="AQ606" s="197"/>
      <c r="AR606" s="197"/>
      <c r="AS606" s="197"/>
      <c r="AT606" s="197"/>
      <c r="AU606" s="197"/>
      <c r="AV606" s="197"/>
      <c r="AW606" s="197"/>
      <c r="AX606" s="197"/>
      <c r="AY606" s="197"/>
      <c r="AZ606" s="197"/>
      <c r="BA606" s="197"/>
      <c r="BB606" s="197"/>
      <c r="BC606" s="197"/>
      <c r="BD606" s="197"/>
      <c r="BE606" s="197"/>
      <c r="BF606" s="197"/>
      <c r="BG606" s="197"/>
      <c r="BH606" s="197"/>
      <c r="BI606" s="197"/>
      <c r="BJ606" s="197"/>
      <c r="BK606" s="197"/>
      <c r="BL606" s="197"/>
      <c r="BM606" s="197"/>
      <c r="BN606" s="197"/>
      <c r="BO606" s="197"/>
      <c r="BP606" s="197"/>
      <c r="BQ606" s="197"/>
      <c r="BR606" s="197"/>
      <c r="BS606" s="197"/>
      <c r="BT606" s="197"/>
    </row>
    <row r="607">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c r="AA607" s="197"/>
      <c r="AB607" s="197"/>
      <c r="AC607" s="197"/>
      <c r="AD607" s="197"/>
      <c r="AE607" s="197"/>
      <c r="AF607" s="197"/>
      <c r="AG607" s="197"/>
      <c r="AH607" s="197"/>
      <c r="AI607" s="197"/>
      <c r="AJ607" s="197"/>
      <c r="AK607" s="197"/>
      <c r="AL607" s="197"/>
      <c r="AM607" s="197"/>
      <c r="AN607" s="197"/>
      <c r="AO607" s="197"/>
      <c r="AP607" s="197"/>
      <c r="AQ607" s="197"/>
      <c r="AR607" s="197"/>
      <c r="AS607" s="197"/>
      <c r="AT607" s="197"/>
      <c r="AU607" s="197"/>
      <c r="AV607" s="197"/>
      <c r="AW607" s="197"/>
      <c r="AX607" s="197"/>
      <c r="AY607" s="197"/>
      <c r="AZ607" s="197"/>
      <c r="BA607" s="197"/>
      <c r="BB607" s="197"/>
      <c r="BC607" s="197"/>
      <c r="BD607" s="197"/>
      <c r="BE607" s="197"/>
      <c r="BF607" s="197"/>
      <c r="BG607" s="197"/>
      <c r="BH607" s="197"/>
      <c r="BI607" s="197"/>
      <c r="BJ607" s="197"/>
      <c r="BK607" s="197"/>
      <c r="BL607" s="197"/>
      <c r="BM607" s="197"/>
      <c r="BN607" s="197"/>
      <c r="BO607" s="197"/>
      <c r="BP607" s="197"/>
      <c r="BQ607" s="197"/>
      <c r="BR607" s="197"/>
      <c r="BS607" s="197"/>
      <c r="BT607" s="197"/>
    </row>
    <row r="608">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c r="AA608" s="197"/>
      <c r="AB608" s="197"/>
      <c r="AC608" s="197"/>
      <c r="AD608" s="197"/>
      <c r="AE608" s="197"/>
      <c r="AF608" s="197"/>
      <c r="AG608" s="197"/>
      <c r="AH608" s="197"/>
      <c r="AI608" s="197"/>
      <c r="AJ608" s="197"/>
      <c r="AK608" s="197"/>
      <c r="AL608" s="197"/>
      <c r="AM608" s="197"/>
      <c r="AN608" s="197"/>
      <c r="AO608" s="197"/>
      <c r="AP608" s="197"/>
      <c r="AQ608" s="197"/>
      <c r="AR608" s="197"/>
      <c r="AS608" s="197"/>
      <c r="AT608" s="197"/>
      <c r="AU608" s="197"/>
      <c r="AV608" s="197"/>
      <c r="AW608" s="197"/>
      <c r="AX608" s="197"/>
      <c r="AY608" s="197"/>
      <c r="AZ608" s="197"/>
      <c r="BA608" s="197"/>
      <c r="BB608" s="197"/>
      <c r="BC608" s="197"/>
      <c r="BD608" s="197"/>
      <c r="BE608" s="197"/>
      <c r="BF608" s="197"/>
      <c r="BG608" s="197"/>
      <c r="BH608" s="197"/>
      <c r="BI608" s="197"/>
      <c r="BJ608" s="197"/>
      <c r="BK608" s="197"/>
      <c r="BL608" s="197"/>
      <c r="BM608" s="197"/>
      <c r="BN608" s="197"/>
      <c r="BO608" s="197"/>
      <c r="BP608" s="197"/>
      <c r="BQ608" s="197"/>
      <c r="BR608" s="197"/>
      <c r="BS608" s="197"/>
      <c r="BT608" s="197"/>
    </row>
    <row r="609">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c r="AA609" s="197"/>
      <c r="AB609" s="197"/>
      <c r="AC609" s="197"/>
      <c r="AD609" s="197"/>
      <c r="AE609" s="197"/>
      <c r="AF609" s="197"/>
      <c r="AG609" s="197"/>
      <c r="AH609" s="197"/>
      <c r="AI609" s="197"/>
      <c r="AJ609" s="197"/>
      <c r="AK609" s="197"/>
      <c r="AL609" s="197"/>
      <c r="AM609" s="197"/>
      <c r="AN609" s="197"/>
      <c r="AO609" s="197"/>
      <c r="AP609" s="197"/>
      <c r="AQ609" s="197"/>
      <c r="AR609" s="197"/>
      <c r="AS609" s="197"/>
      <c r="AT609" s="197"/>
      <c r="AU609" s="197"/>
      <c r="AV609" s="197"/>
      <c r="AW609" s="197"/>
      <c r="AX609" s="197"/>
      <c r="AY609" s="197"/>
      <c r="AZ609" s="197"/>
      <c r="BA609" s="197"/>
      <c r="BB609" s="197"/>
      <c r="BC609" s="197"/>
      <c r="BD609" s="197"/>
      <c r="BE609" s="197"/>
      <c r="BF609" s="197"/>
      <c r="BG609" s="197"/>
      <c r="BH609" s="197"/>
      <c r="BI609" s="197"/>
      <c r="BJ609" s="197"/>
      <c r="BK609" s="197"/>
      <c r="BL609" s="197"/>
      <c r="BM609" s="197"/>
      <c r="BN609" s="197"/>
      <c r="BO609" s="197"/>
      <c r="BP609" s="197"/>
      <c r="BQ609" s="197"/>
      <c r="BR609" s="197"/>
      <c r="BS609" s="197"/>
      <c r="BT609" s="197"/>
    </row>
    <row r="610">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c r="AA610" s="197"/>
      <c r="AB610" s="197"/>
      <c r="AC610" s="197"/>
      <c r="AD610" s="197"/>
      <c r="AE610" s="197"/>
      <c r="AF610" s="197"/>
      <c r="AG610" s="197"/>
      <c r="AH610" s="197"/>
      <c r="AI610" s="197"/>
      <c r="AJ610" s="197"/>
      <c r="AK610" s="197"/>
      <c r="AL610" s="197"/>
      <c r="AM610" s="197"/>
      <c r="AN610" s="197"/>
      <c r="AO610" s="197"/>
      <c r="AP610" s="197"/>
      <c r="AQ610" s="197"/>
      <c r="AR610" s="197"/>
      <c r="AS610" s="197"/>
      <c r="AT610" s="197"/>
      <c r="AU610" s="197"/>
      <c r="AV610" s="197"/>
      <c r="AW610" s="197"/>
      <c r="AX610" s="197"/>
      <c r="AY610" s="197"/>
      <c r="AZ610" s="197"/>
      <c r="BA610" s="197"/>
      <c r="BB610" s="197"/>
      <c r="BC610" s="197"/>
      <c r="BD610" s="197"/>
      <c r="BE610" s="197"/>
      <c r="BF610" s="197"/>
      <c r="BG610" s="197"/>
      <c r="BH610" s="197"/>
      <c r="BI610" s="197"/>
      <c r="BJ610" s="197"/>
      <c r="BK610" s="197"/>
      <c r="BL610" s="197"/>
      <c r="BM610" s="197"/>
      <c r="BN610" s="197"/>
      <c r="BO610" s="197"/>
      <c r="BP610" s="197"/>
      <c r="BQ610" s="197"/>
      <c r="BR610" s="197"/>
      <c r="BS610" s="197"/>
      <c r="BT610" s="197"/>
    </row>
    <row r="611">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c r="AA611" s="197"/>
      <c r="AB611" s="197"/>
      <c r="AC611" s="197"/>
      <c r="AD611" s="197"/>
      <c r="AE611" s="197"/>
      <c r="AF611" s="197"/>
      <c r="AG611" s="197"/>
      <c r="AH611" s="197"/>
      <c r="AI611" s="197"/>
      <c r="AJ611" s="197"/>
      <c r="AK611" s="197"/>
      <c r="AL611" s="197"/>
      <c r="AM611" s="197"/>
      <c r="AN611" s="197"/>
      <c r="AO611" s="197"/>
      <c r="AP611" s="197"/>
      <c r="AQ611" s="197"/>
      <c r="AR611" s="197"/>
      <c r="AS611" s="197"/>
      <c r="AT611" s="197"/>
      <c r="AU611" s="197"/>
      <c r="AV611" s="197"/>
      <c r="AW611" s="197"/>
      <c r="AX611" s="197"/>
      <c r="AY611" s="197"/>
      <c r="AZ611" s="197"/>
      <c r="BA611" s="197"/>
      <c r="BB611" s="197"/>
      <c r="BC611" s="197"/>
      <c r="BD611" s="197"/>
      <c r="BE611" s="197"/>
      <c r="BF611" s="197"/>
      <c r="BG611" s="197"/>
      <c r="BH611" s="197"/>
      <c r="BI611" s="197"/>
      <c r="BJ611" s="197"/>
      <c r="BK611" s="197"/>
      <c r="BL611" s="197"/>
      <c r="BM611" s="197"/>
      <c r="BN611" s="197"/>
      <c r="BO611" s="197"/>
      <c r="BP611" s="197"/>
      <c r="BQ611" s="197"/>
      <c r="BR611" s="197"/>
      <c r="BS611" s="197"/>
      <c r="BT611" s="197"/>
    </row>
    <row r="612">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c r="AA612" s="197"/>
      <c r="AB612" s="197"/>
      <c r="AC612" s="197"/>
      <c r="AD612" s="197"/>
      <c r="AE612" s="197"/>
      <c r="AF612" s="197"/>
      <c r="AG612" s="197"/>
      <c r="AH612" s="197"/>
      <c r="AI612" s="197"/>
      <c r="AJ612" s="197"/>
      <c r="AK612" s="197"/>
      <c r="AL612" s="197"/>
      <c r="AM612" s="197"/>
      <c r="AN612" s="197"/>
      <c r="AO612" s="197"/>
      <c r="AP612" s="197"/>
      <c r="AQ612" s="197"/>
      <c r="AR612" s="197"/>
      <c r="AS612" s="197"/>
      <c r="AT612" s="197"/>
      <c r="AU612" s="197"/>
      <c r="AV612" s="197"/>
      <c r="AW612" s="197"/>
      <c r="AX612" s="197"/>
      <c r="AY612" s="197"/>
      <c r="AZ612" s="197"/>
      <c r="BA612" s="197"/>
      <c r="BB612" s="197"/>
      <c r="BC612" s="197"/>
      <c r="BD612" s="197"/>
      <c r="BE612" s="197"/>
      <c r="BF612" s="197"/>
      <c r="BG612" s="197"/>
      <c r="BH612" s="197"/>
      <c r="BI612" s="197"/>
      <c r="BJ612" s="197"/>
      <c r="BK612" s="197"/>
      <c r="BL612" s="197"/>
      <c r="BM612" s="197"/>
      <c r="BN612" s="197"/>
      <c r="BO612" s="197"/>
      <c r="BP612" s="197"/>
      <c r="BQ612" s="197"/>
      <c r="BR612" s="197"/>
      <c r="BS612" s="197"/>
      <c r="BT612" s="197"/>
    </row>
    <row r="613">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c r="AA613" s="197"/>
      <c r="AB613" s="197"/>
      <c r="AC613" s="197"/>
      <c r="AD613" s="197"/>
      <c r="AE613" s="197"/>
      <c r="AF613" s="197"/>
      <c r="AG613" s="197"/>
      <c r="AH613" s="197"/>
      <c r="AI613" s="197"/>
      <c r="AJ613" s="197"/>
      <c r="AK613" s="197"/>
      <c r="AL613" s="197"/>
      <c r="AM613" s="197"/>
      <c r="AN613" s="197"/>
      <c r="AO613" s="197"/>
      <c r="AP613" s="197"/>
      <c r="AQ613" s="197"/>
      <c r="AR613" s="197"/>
      <c r="AS613" s="197"/>
      <c r="AT613" s="197"/>
      <c r="AU613" s="197"/>
      <c r="AV613" s="197"/>
      <c r="AW613" s="197"/>
      <c r="AX613" s="197"/>
      <c r="AY613" s="197"/>
      <c r="AZ613" s="197"/>
      <c r="BA613" s="197"/>
      <c r="BB613" s="197"/>
      <c r="BC613" s="197"/>
      <c r="BD613" s="197"/>
      <c r="BE613" s="197"/>
      <c r="BF613" s="197"/>
      <c r="BG613" s="197"/>
      <c r="BH613" s="197"/>
      <c r="BI613" s="197"/>
      <c r="BJ613" s="197"/>
      <c r="BK613" s="197"/>
      <c r="BL613" s="197"/>
      <c r="BM613" s="197"/>
      <c r="BN613" s="197"/>
      <c r="BO613" s="197"/>
      <c r="BP613" s="197"/>
      <c r="BQ613" s="197"/>
      <c r="BR613" s="197"/>
      <c r="BS613" s="197"/>
      <c r="BT613" s="197"/>
    </row>
    <row r="614">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c r="AA614" s="197"/>
      <c r="AB614" s="197"/>
      <c r="AC614" s="197"/>
      <c r="AD614" s="197"/>
      <c r="AE614" s="197"/>
      <c r="AF614" s="197"/>
      <c r="AG614" s="197"/>
      <c r="AH614" s="197"/>
      <c r="AI614" s="197"/>
      <c r="AJ614" s="197"/>
      <c r="AK614" s="197"/>
      <c r="AL614" s="197"/>
      <c r="AM614" s="197"/>
      <c r="AN614" s="197"/>
      <c r="AO614" s="197"/>
      <c r="AP614" s="197"/>
      <c r="AQ614" s="197"/>
      <c r="AR614" s="197"/>
      <c r="AS614" s="197"/>
      <c r="AT614" s="197"/>
      <c r="AU614" s="197"/>
      <c r="AV614" s="197"/>
      <c r="AW614" s="197"/>
      <c r="AX614" s="197"/>
      <c r="AY614" s="197"/>
      <c r="AZ614" s="197"/>
      <c r="BA614" s="197"/>
      <c r="BB614" s="197"/>
      <c r="BC614" s="197"/>
      <c r="BD614" s="197"/>
      <c r="BE614" s="197"/>
      <c r="BF614" s="197"/>
      <c r="BG614" s="197"/>
      <c r="BH614" s="197"/>
      <c r="BI614" s="197"/>
      <c r="BJ614" s="197"/>
      <c r="BK614" s="197"/>
      <c r="BL614" s="197"/>
      <c r="BM614" s="197"/>
      <c r="BN614" s="197"/>
      <c r="BO614" s="197"/>
      <c r="BP614" s="197"/>
      <c r="BQ614" s="197"/>
      <c r="BR614" s="197"/>
      <c r="BS614" s="197"/>
      <c r="BT614" s="197"/>
    </row>
    <row r="615">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c r="AA615" s="197"/>
      <c r="AB615" s="197"/>
      <c r="AC615" s="197"/>
      <c r="AD615" s="197"/>
      <c r="AE615" s="197"/>
      <c r="AF615" s="197"/>
      <c r="AG615" s="197"/>
      <c r="AH615" s="197"/>
      <c r="AI615" s="197"/>
      <c r="AJ615" s="197"/>
      <c r="AK615" s="197"/>
      <c r="AL615" s="197"/>
      <c r="AM615" s="197"/>
      <c r="AN615" s="197"/>
      <c r="AO615" s="197"/>
      <c r="AP615" s="197"/>
      <c r="AQ615" s="197"/>
      <c r="AR615" s="197"/>
      <c r="AS615" s="197"/>
      <c r="AT615" s="197"/>
      <c r="AU615" s="197"/>
      <c r="AV615" s="197"/>
      <c r="AW615" s="197"/>
      <c r="AX615" s="197"/>
      <c r="AY615" s="197"/>
      <c r="AZ615" s="197"/>
      <c r="BA615" s="197"/>
      <c r="BB615" s="197"/>
      <c r="BC615" s="197"/>
      <c r="BD615" s="197"/>
      <c r="BE615" s="197"/>
      <c r="BF615" s="197"/>
      <c r="BG615" s="197"/>
      <c r="BH615" s="197"/>
      <c r="BI615" s="197"/>
      <c r="BJ615" s="197"/>
      <c r="BK615" s="197"/>
      <c r="BL615" s="197"/>
      <c r="BM615" s="197"/>
      <c r="BN615" s="197"/>
      <c r="BO615" s="197"/>
      <c r="BP615" s="197"/>
      <c r="BQ615" s="197"/>
      <c r="BR615" s="197"/>
      <c r="BS615" s="197"/>
      <c r="BT615" s="197"/>
    </row>
    <row r="616">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c r="AA616" s="197"/>
      <c r="AB616" s="197"/>
      <c r="AC616" s="197"/>
      <c r="AD616" s="197"/>
      <c r="AE616" s="197"/>
      <c r="AF616" s="197"/>
      <c r="AG616" s="197"/>
      <c r="AH616" s="197"/>
      <c r="AI616" s="197"/>
      <c r="AJ616" s="197"/>
      <c r="AK616" s="197"/>
      <c r="AL616" s="197"/>
      <c r="AM616" s="197"/>
      <c r="AN616" s="197"/>
      <c r="AO616" s="197"/>
      <c r="AP616" s="197"/>
      <c r="AQ616" s="197"/>
      <c r="AR616" s="197"/>
      <c r="AS616" s="197"/>
      <c r="AT616" s="197"/>
      <c r="AU616" s="197"/>
      <c r="AV616" s="197"/>
      <c r="AW616" s="197"/>
      <c r="AX616" s="197"/>
      <c r="AY616" s="197"/>
      <c r="AZ616" s="197"/>
      <c r="BA616" s="197"/>
      <c r="BB616" s="197"/>
      <c r="BC616" s="197"/>
      <c r="BD616" s="197"/>
      <c r="BE616" s="197"/>
      <c r="BF616" s="197"/>
      <c r="BG616" s="197"/>
      <c r="BH616" s="197"/>
      <c r="BI616" s="197"/>
      <c r="BJ616" s="197"/>
      <c r="BK616" s="197"/>
      <c r="BL616" s="197"/>
      <c r="BM616" s="197"/>
      <c r="BN616" s="197"/>
      <c r="BO616" s="197"/>
      <c r="BP616" s="197"/>
      <c r="BQ616" s="197"/>
      <c r="BR616" s="197"/>
      <c r="BS616" s="197"/>
      <c r="BT616" s="197"/>
    </row>
    <row r="617">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c r="AA617" s="197"/>
      <c r="AB617" s="197"/>
      <c r="AC617" s="197"/>
      <c r="AD617" s="197"/>
      <c r="AE617" s="197"/>
      <c r="AF617" s="197"/>
      <c r="AG617" s="197"/>
      <c r="AH617" s="197"/>
      <c r="AI617" s="197"/>
      <c r="AJ617" s="197"/>
      <c r="AK617" s="197"/>
      <c r="AL617" s="197"/>
      <c r="AM617" s="197"/>
      <c r="AN617" s="197"/>
      <c r="AO617" s="197"/>
      <c r="AP617" s="197"/>
      <c r="AQ617" s="197"/>
      <c r="AR617" s="197"/>
      <c r="AS617" s="197"/>
      <c r="AT617" s="197"/>
      <c r="AU617" s="197"/>
      <c r="AV617" s="197"/>
      <c r="AW617" s="197"/>
      <c r="AX617" s="197"/>
      <c r="AY617" s="197"/>
      <c r="AZ617" s="197"/>
      <c r="BA617" s="197"/>
      <c r="BB617" s="197"/>
      <c r="BC617" s="197"/>
      <c r="BD617" s="197"/>
      <c r="BE617" s="197"/>
      <c r="BF617" s="197"/>
      <c r="BG617" s="197"/>
      <c r="BH617" s="197"/>
      <c r="BI617" s="197"/>
      <c r="BJ617" s="197"/>
      <c r="BK617" s="197"/>
      <c r="BL617" s="197"/>
      <c r="BM617" s="197"/>
      <c r="BN617" s="197"/>
      <c r="BO617" s="197"/>
      <c r="BP617" s="197"/>
      <c r="BQ617" s="197"/>
      <c r="BR617" s="197"/>
      <c r="BS617" s="197"/>
      <c r="BT617" s="197"/>
    </row>
    <row r="618">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c r="AA618" s="197"/>
      <c r="AB618" s="197"/>
      <c r="AC618" s="197"/>
      <c r="AD618" s="197"/>
      <c r="AE618" s="197"/>
      <c r="AF618" s="197"/>
      <c r="AG618" s="197"/>
      <c r="AH618" s="197"/>
      <c r="AI618" s="197"/>
      <c r="AJ618" s="197"/>
      <c r="AK618" s="197"/>
      <c r="AL618" s="197"/>
      <c r="AM618" s="197"/>
      <c r="AN618" s="197"/>
      <c r="AO618" s="197"/>
      <c r="AP618" s="197"/>
      <c r="AQ618" s="197"/>
      <c r="AR618" s="197"/>
      <c r="AS618" s="197"/>
      <c r="AT618" s="197"/>
      <c r="AU618" s="197"/>
      <c r="AV618" s="197"/>
      <c r="AW618" s="197"/>
      <c r="AX618" s="197"/>
      <c r="AY618" s="197"/>
      <c r="AZ618" s="197"/>
      <c r="BA618" s="197"/>
      <c r="BB618" s="197"/>
      <c r="BC618" s="197"/>
      <c r="BD618" s="197"/>
      <c r="BE618" s="197"/>
      <c r="BF618" s="197"/>
      <c r="BG618" s="197"/>
      <c r="BH618" s="197"/>
      <c r="BI618" s="197"/>
      <c r="BJ618" s="197"/>
      <c r="BK618" s="197"/>
      <c r="BL618" s="197"/>
      <c r="BM618" s="197"/>
      <c r="BN618" s="197"/>
      <c r="BO618" s="197"/>
      <c r="BP618" s="197"/>
      <c r="BQ618" s="197"/>
      <c r="BR618" s="197"/>
      <c r="BS618" s="197"/>
      <c r="BT618" s="197"/>
    </row>
    <row r="619">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c r="AA619" s="197"/>
      <c r="AB619" s="197"/>
      <c r="AC619" s="197"/>
      <c r="AD619" s="197"/>
      <c r="AE619" s="197"/>
      <c r="AF619" s="197"/>
      <c r="AG619" s="197"/>
      <c r="AH619" s="197"/>
      <c r="AI619" s="197"/>
      <c r="AJ619" s="197"/>
      <c r="AK619" s="197"/>
      <c r="AL619" s="197"/>
      <c r="AM619" s="197"/>
      <c r="AN619" s="197"/>
      <c r="AO619" s="197"/>
      <c r="AP619" s="197"/>
      <c r="AQ619" s="197"/>
      <c r="AR619" s="197"/>
      <c r="AS619" s="197"/>
      <c r="AT619" s="197"/>
      <c r="AU619" s="197"/>
      <c r="AV619" s="197"/>
      <c r="AW619" s="197"/>
      <c r="AX619" s="197"/>
      <c r="AY619" s="197"/>
      <c r="AZ619" s="197"/>
      <c r="BA619" s="197"/>
      <c r="BB619" s="197"/>
      <c r="BC619" s="197"/>
      <c r="BD619" s="197"/>
      <c r="BE619" s="197"/>
      <c r="BF619" s="197"/>
      <c r="BG619" s="197"/>
      <c r="BH619" s="197"/>
      <c r="BI619" s="197"/>
      <c r="BJ619" s="197"/>
      <c r="BK619" s="197"/>
      <c r="BL619" s="197"/>
      <c r="BM619" s="197"/>
      <c r="BN619" s="197"/>
      <c r="BO619" s="197"/>
      <c r="BP619" s="197"/>
      <c r="BQ619" s="197"/>
      <c r="BR619" s="197"/>
      <c r="BS619" s="197"/>
      <c r="BT619" s="197"/>
    </row>
    <row r="620">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c r="AA620" s="197"/>
      <c r="AB620" s="197"/>
      <c r="AC620" s="197"/>
      <c r="AD620" s="197"/>
      <c r="AE620" s="197"/>
      <c r="AF620" s="197"/>
      <c r="AG620" s="197"/>
      <c r="AH620" s="197"/>
      <c r="AI620" s="197"/>
      <c r="AJ620" s="197"/>
      <c r="AK620" s="197"/>
      <c r="AL620" s="197"/>
      <c r="AM620" s="197"/>
      <c r="AN620" s="197"/>
      <c r="AO620" s="197"/>
      <c r="AP620" s="197"/>
      <c r="AQ620" s="197"/>
      <c r="AR620" s="197"/>
      <c r="AS620" s="197"/>
      <c r="AT620" s="197"/>
      <c r="AU620" s="197"/>
      <c r="AV620" s="197"/>
      <c r="AW620" s="197"/>
      <c r="AX620" s="197"/>
      <c r="AY620" s="197"/>
      <c r="AZ620" s="197"/>
      <c r="BA620" s="197"/>
      <c r="BB620" s="197"/>
      <c r="BC620" s="197"/>
      <c r="BD620" s="197"/>
      <c r="BE620" s="197"/>
      <c r="BF620" s="197"/>
      <c r="BG620" s="197"/>
      <c r="BH620" s="197"/>
      <c r="BI620" s="197"/>
      <c r="BJ620" s="197"/>
      <c r="BK620" s="197"/>
      <c r="BL620" s="197"/>
      <c r="BM620" s="197"/>
      <c r="BN620" s="197"/>
      <c r="BO620" s="197"/>
      <c r="BP620" s="197"/>
      <c r="BQ620" s="197"/>
      <c r="BR620" s="197"/>
      <c r="BS620" s="197"/>
      <c r="BT620" s="197"/>
    </row>
    <row r="621">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c r="AA621" s="197"/>
      <c r="AB621" s="197"/>
      <c r="AC621" s="197"/>
      <c r="AD621" s="197"/>
      <c r="AE621" s="197"/>
      <c r="AF621" s="197"/>
      <c r="AG621" s="197"/>
      <c r="AH621" s="197"/>
      <c r="AI621" s="197"/>
      <c r="AJ621" s="197"/>
      <c r="AK621" s="197"/>
      <c r="AL621" s="197"/>
      <c r="AM621" s="197"/>
      <c r="AN621" s="197"/>
      <c r="AO621" s="197"/>
      <c r="AP621" s="197"/>
      <c r="AQ621" s="197"/>
      <c r="AR621" s="197"/>
      <c r="AS621" s="197"/>
      <c r="AT621" s="197"/>
      <c r="AU621" s="197"/>
      <c r="AV621" s="197"/>
      <c r="AW621" s="197"/>
      <c r="AX621" s="197"/>
      <c r="AY621" s="197"/>
      <c r="AZ621" s="197"/>
      <c r="BA621" s="197"/>
      <c r="BB621" s="197"/>
      <c r="BC621" s="197"/>
      <c r="BD621" s="197"/>
      <c r="BE621" s="197"/>
      <c r="BF621" s="197"/>
      <c r="BG621" s="197"/>
      <c r="BH621" s="197"/>
      <c r="BI621" s="197"/>
      <c r="BJ621" s="197"/>
      <c r="BK621" s="197"/>
      <c r="BL621" s="197"/>
      <c r="BM621" s="197"/>
      <c r="BN621" s="197"/>
      <c r="BO621" s="197"/>
      <c r="BP621" s="197"/>
      <c r="BQ621" s="197"/>
      <c r="BR621" s="197"/>
      <c r="BS621" s="197"/>
      <c r="BT621" s="197"/>
    </row>
    <row r="622">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c r="AA622" s="197"/>
      <c r="AB622" s="197"/>
      <c r="AC622" s="197"/>
      <c r="AD622" s="197"/>
      <c r="AE622" s="197"/>
      <c r="AF622" s="197"/>
      <c r="AG622" s="197"/>
      <c r="AH622" s="197"/>
      <c r="AI622" s="197"/>
      <c r="AJ622" s="197"/>
      <c r="AK622" s="197"/>
      <c r="AL622" s="197"/>
      <c r="AM622" s="197"/>
      <c r="AN622" s="197"/>
      <c r="AO622" s="197"/>
      <c r="AP622" s="197"/>
      <c r="AQ622" s="197"/>
      <c r="AR622" s="197"/>
      <c r="AS622" s="197"/>
      <c r="AT622" s="197"/>
      <c r="AU622" s="197"/>
      <c r="AV622" s="197"/>
      <c r="AW622" s="197"/>
      <c r="AX622" s="197"/>
      <c r="AY622" s="197"/>
      <c r="AZ622" s="197"/>
      <c r="BA622" s="197"/>
      <c r="BB622" s="197"/>
      <c r="BC622" s="197"/>
      <c r="BD622" s="197"/>
      <c r="BE622" s="197"/>
      <c r="BF622" s="197"/>
      <c r="BG622" s="197"/>
      <c r="BH622" s="197"/>
      <c r="BI622" s="197"/>
      <c r="BJ622" s="197"/>
      <c r="BK622" s="197"/>
      <c r="BL622" s="197"/>
      <c r="BM622" s="197"/>
      <c r="BN622" s="197"/>
      <c r="BO622" s="197"/>
      <c r="BP622" s="197"/>
      <c r="BQ622" s="197"/>
      <c r="BR622" s="197"/>
      <c r="BS622" s="197"/>
      <c r="BT622" s="197"/>
    </row>
    <row r="623">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c r="AA623" s="197"/>
      <c r="AB623" s="197"/>
      <c r="AC623" s="197"/>
      <c r="AD623" s="197"/>
      <c r="AE623" s="197"/>
      <c r="AF623" s="197"/>
      <c r="AG623" s="197"/>
      <c r="AH623" s="197"/>
      <c r="AI623" s="197"/>
      <c r="AJ623" s="197"/>
      <c r="AK623" s="197"/>
      <c r="AL623" s="197"/>
      <c r="AM623" s="197"/>
      <c r="AN623" s="197"/>
      <c r="AO623" s="197"/>
      <c r="AP623" s="197"/>
      <c r="AQ623" s="197"/>
      <c r="AR623" s="197"/>
      <c r="AS623" s="197"/>
      <c r="AT623" s="197"/>
      <c r="AU623" s="197"/>
      <c r="AV623" s="197"/>
      <c r="AW623" s="197"/>
      <c r="AX623" s="197"/>
      <c r="AY623" s="197"/>
      <c r="AZ623" s="197"/>
      <c r="BA623" s="197"/>
      <c r="BB623" s="197"/>
      <c r="BC623" s="197"/>
      <c r="BD623" s="197"/>
      <c r="BE623" s="197"/>
      <c r="BF623" s="197"/>
      <c r="BG623" s="197"/>
      <c r="BH623" s="197"/>
      <c r="BI623" s="197"/>
      <c r="BJ623" s="197"/>
      <c r="BK623" s="197"/>
      <c r="BL623" s="197"/>
      <c r="BM623" s="197"/>
      <c r="BN623" s="197"/>
      <c r="BO623" s="197"/>
      <c r="BP623" s="197"/>
      <c r="BQ623" s="197"/>
      <c r="BR623" s="197"/>
      <c r="BS623" s="197"/>
      <c r="BT623" s="197"/>
    </row>
    <row r="624">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c r="AA624" s="197"/>
      <c r="AB624" s="197"/>
      <c r="AC624" s="197"/>
      <c r="AD624" s="197"/>
      <c r="AE624" s="197"/>
      <c r="AF624" s="197"/>
      <c r="AG624" s="197"/>
      <c r="AH624" s="197"/>
      <c r="AI624" s="197"/>
      <c r="AJ624" s="197"/>
      <c r="AK624" s="197"/>
      <c r="AL624" s="197"/>
      <c r="AM624" s="197"/>
      <c r="AN624" s="197"/>
      <c r="AO624" s="197"/>
      <c r="AP624" s="197"/>
      <c r="AQ624" s="197"/>
      <c r="AR624" s="197"/>
      <c r="AS624" s="197"/>
      <c r="AT624" s="197"/>
      <c r="AU624" s="197"/>
      <c r="AV624" s="197"/>
      <c r="AW624" s="197"/>
      <c r="AX624" s="197"/>
      <c r="AY624" s="197"/>
      <c r="AZ624" s="197"/>
      <c r="BA624" s="197"/>
      <c r="BB624" s="197"/>
      <c r="BC624" s="197"/>
      <c r="BD624" s="197"/>
      <c r="BE624" s="197"/>
      <c r="BF624" s="197"/>
      <c r="BG624" s="197"/>
      <c r="BH624" s="197"/>
      <c r="BI624" s="197"/>
      <c r="BJ624" s="197"/>
      <c r="BK624" s="197"/>
      <c r="BL624" s="197"/>
      <c r="BM624" s="197"/>
      <c r="BN624" s="197"/>
      <c r="BO624" s="197"/>
      <c r="BP624" s="197"/>
      <c r="BQ624" s="197"/>
      <c r="BR624" s="197"/>
      <c r="BS624" s="197"/>
      <c r="BT624" s="197"/>
    </row>
  </sheetData>
  <customSheetViews>
    <customSheetView guid="{15281B65-2443-49A5-8A9F-E52C8AE1D6F8}" filter="1" showAutoFilter="1">
      <autoFilter ref="$H$13:$K$67"/>
    </customSheetView>
  </customSheetViews>
  <conditionalFormatting sqref="A1:H1">
    <cfRule type="colorScale" priority="1">
      <colorScale>
        <cfvo type="formula" val="0"/>
        <cfvo type="formula" val="50"/>
        <cfvo type="formula" val="100"/>
        <color rgb="FF1A1B2F"/>
        <color rgb="FF5F2EEA"/>
        <color rgb="FFB980F0"/>
      </colorScale>
    </cfRule>
  </conditionalFormatting>
  <hyperlinks>
    <hyperlink display="HOME" location="Home!A1" ref="A1"/>
    <hyperlink display="DASHBOARD" location="Dashboard!A1" ref="B1"/>
    <hyperlink display="ENTRY DATA" location="'Entry Data'!A1" ref="C1"/>
    <hyperlink display="DATA BASE" location="Database!A1" ref="D1"/>
    <hyperlink display="GRAPH" location="Graph!A1" ref="E1"/>
    <hyperlink display="JADWAL" location="'Jadwal Kuliah'!A1" ref="F1"/>
    <hyperlink display="KALENDER" location="'Kalender '!A1" ref="G1"/>
    <hyperlink display="TRACKER" location="'Tracking Matkul'!A1" ref="H1"/>
  </hyperlinks>
  <drawing r:id="rId4"/>
  <tableParts count="1">
    <tablePart r:id="rId6"/>
  </tableParts>
  <extLst>
    <ext uri="{3A4CF648-6AED-40f4-86FF-DC5316D8AED3}">
      <x14:slicerList>
        <x14:slicer r:id="rId7"/>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38"/>
    <col customWidth="1" min="3" max="3" width="14.13"/>
    <col customWidth="1" min="4" max="4" width="12.63"/>
    <col customWidth="1" min="6" max="6" width="14.5"/>
    <col customWidth="1" min="7" max="7" width="13.38"/>
    <col customWidth="1" min="10" max="10" width="16.5"/>
    <col customWidth="1" min="12" max="12" width="12.0"/>
    <col customWidth="1" min="14" max="14" width="15.75"/>
    <col customWidth="1" min="15" max="15" width="14.0"/>
    <col customWidth="1" min="17" max="17" width="13.75"/>
    <col customWidth="1" min="18" max="18" width="16.13"/>
    <col customWidth="1" min="20" max="20" width="13.0"/>
    <col customWidth="1" min="22" max="22" width="14.63"/>
    <col customWidth="1" min="23" max="23" width="14.25"/>
  </cols>
  <sheetData>
    <row r="1" ht="28.5" customHeight="1">
      <c r="A1" s="1" t="s">
        <v>0</v>
      </c>
      <c r="B1" s="2" t="s">
        <v>1</v>
      </c>
      <c r="C1" s="3" t="s">
        <v>2</v>
      </c>
      <c r="D1" s="2" t="s">
        <v>3</v>
      </c>
      <c r="E1" s="2" t="s">
        <v>4</v>
      </c>
      <c r="F1" s="3" t="s">
        <v>5</v>
      </c>
      <c r="G1" s="2" t="s">
        <v>6</v>
      </c>
      <c r="H1" s="2" t="s">
        <v>7</v>
      </c>
      <c r="I1" s="4"/>
      <c r="J1" s="4"/>
      <c r="K1" s="4"/>
      <c r="L1" s="4"/>
      <c r="M1" s="4"/>
      <c r="N1" s="4"/>
      <c r="O1" s="4"/>
      <c r="P1" s="4"/>
      <c r="Q1" s="4"/>
      <c r="R1" s="4"/>
      <c r="S1" s="4"/>
      <c r="T1" s="4"/>
      <c r="U1" s="5"/>
      <c r="V1" s="6" t="s">
        <v>8</v>
      </c>
      <c r="W1" s="120"/>
      <c r="X1" s="120"/>
      <c r="Y1" s="120"/>
    </row>
    <row r="2">
      <c r="A2" s="120"/>
      <c r="B2" s="50" t="s">
        <v>8</v>
      </c>
      <c r="C2" s="4"/>
      <c r="D2" s="4"/>
      <c r="E2" s="4"/>
      <c r="F2" s="4"/>
      <c r="G2" s="4"/>
      <c r="H2" s="4"/>
      <c r="I2" s="4"/>
      <c r="J2" s="48"/>
      <c r="K2" s="48"/>
      <c r="L2" s="48"/>
      <c r="M2" s="49"/>
      <c r="N2" s="49"/>
      <c r="O2" s="49"/>
      <c r="P2" s="4"/>
      <c r="Q2" s="4"/>
      <c r="R2" s="49"/>
      <c r="S2" s="49"/>
      <c r="T2" s="49"/>
      <c r="U2" s="5"/>
      <c r="V2" s="5"/>
      <c r="W2" s="120"/>
      <c r="X2" s="120"/>
      <c r="Y2" s="120"/>
    </row>
    <row r="3">
      <c r="A3" s="120"/>
      <c r="B3" s="4"/>
      <c r="C3" s="4"/>
      <c r="D3" s="4"/>
      <c r="E3" s="4"/>
      <c r="F3" s="4"/>
      <c r="G3" s="4"/>
      <c r="H3" s="4"/>
      <c r="I3" s="4"/>
      <c r="J3" s="48"/>
      <c r="K3" s="48"/>
      <c r="L3" s="155" t="s">
        <v>8</v>
      </c>
      <c r="M3" s="49"/>
      <c r="N3" s="49"/>
      <c r="O3" s="49"/>
      <c r="P3" s="4"/>
      <c r="Q3" s="4"/>
      <c r="R3" s="156" t="s">
        <v>8</v>
      </c>
      <c r="S3" s="49"/>
      <c r="T3" s="49"/>
      <c r="U3" s="5"/>
      <c r="V3" s="5"/>
      <c r="W3" s="120"/>
      <c r="X3" s="121" t="s">
        <v>8</v>
      </c>
      <c r="Y3" s="120"/>
    </row>
    <row r="4">
      <c r="A4" s="120"/>
      <c r="B4" s="120"/>
      <c r="C4" s="120"/>
      <c r="D4" s="120"/>
      <c r="E4" s="120"/>
      <c r="F4" s="120"/>
      <c r="G4" s="120"/>
      <c r="H4" s="120"/>
      <c r="I4" s="120"/>
      <c r="J4" s="120"/>
      <c r="K4" s="120"/>
      <c r="L4" s="120"/>
      <c r="M4" s="120"/>
      <c r="N4" s="120"/>
      <c r="O4" s="120"/>
      <c r="P4" s="120"/>
      <c r="Q4" s="120"/>
      <c r="R4" s="120"/>
      <c r="S4" s="49"/>
      <c r="T4" s="49"/>
      <c r="U4" s="120"/>
      <c r="V4" s="120"/>
      <c r="W4" s="120"/>
      <c r="X4" s="120"/>
      <c r="Y4" s="120"/>
    </row>
    <row r="5">
      <c r="A5" s="120"/>
      <c r="B5" s="120"/>
      <c r="C5" s="120"/>
      <c r="D5" s="120"/>
      <c r="E5" s="120"/>
      <c r="F5" s="120"/>
      <c r="G5" s="120"/>
      <c r="H5" s="120"/>
      <c r="I5" s="120"/>
      <c r="J5" s="120"/>
      <c r="K5" s="120"/>
      <c r="L5" s="120"/>
      <c r="M5" s="120"/>
      <c r="N5" s="120"/>
      <c r="O5" s="120"/>
      <c r="P5" s="120"/>
      <c r="Q5" s="120"/>
      <c r="R5" s="120"/>
      <c r="S5" s="120"/>
      <c r="T5" s="120"/>
      <c r="U5" s="120"/>
      <c r="V5" s="120"/>
      <c r="W5" s="120"/>
      <c r="X5" s="120"/>
      <c r="Y5" s="120"/>
    </row>
    <row r="6" ht="22.5" customHeight="1">
      <c r="A6" s="120"/>
      <c r="B6" s="57" t="s">
        <v>41</v>
      </c>
      <c r="C6" s="57" t="s">
        <v>42</v>
      </c>
      <c r="D6" s="57" t="s">
        <v>43</v>
      </c>
      <c r="E6" s="57" t="s">
        <v>44</v>
      </c>
      <c r="F6" s="57" t="s">
        <v>45</v>
      </c>
      <c r="G6" s="57" t="s">
        <v>124</v>
      </c>
      <c r="H6" s="57" t="s">
        <v>49</v>
      </c>
      <c r="I6" s="120"/>
      <c r="J6" s="57" t="s">
        <v>41</v>
      </c>
      <c r="K6" s="57" t="s">
        <v>42</v>
      </c>
      <c r="L6" s="57" t="s">
        <v>43</v>
      </c>
      <c r="M6" s="57" t="s">
        <v>44</v>
      </c>
      <c r="N6" s="57" t="s">
        <v>45</v>
      </c>
      <c r="O6" s="57" t="s">
        <v>124</v>
      </c>
      <c r="P6" s="57" t="s">
        <v>49</v>
      </c>
      <c r="Q6" s="120"/>
      <c r="R6" s="57" t="s">
        <v>41</v>
      </c>
      <c r="S6" s="57" t="s">
        <v>42</v>
      </c>
      <c r="T6" s="57" t="s">
        <v>43</v>
      </c>
      <c r="U6" s="57" t="s">
        <v>44</v>
      </c>
      <c r="V6" s="57" t="s">
        <v>45</v>
      </c>
      <c r="W6" s="57" t="s">
        <v>124</v>
      </c>
      <c r="X6" s="57" t="s">
        <v>49</v>
      </c>
      <c r="Y6" s="159"/>
    </row>
    <row r="7">
      <c r="A7" s="120"/>
      <c r="B7" s="200" t="str">
        <f>IFERROR(__xludf.DUMMYFUNCTION("QUERY(Database!B7:J58, ""select C, D, E, F, G, H, I where B = 1"", 0)
"),"Literasi Digital")</f>
        <v>Literasi Digital</v>
      </c>
      <c r="C7" s="200" t="str">
        <f>IFERROR(__xludf.DUMMYFUNCTION("""COMPUTED_VALUE"""),"Senin")</f>
        <v>Senin</v>
      </c>
      <c r="D7" s="201">
        <f>IFERROR(__xludf.DUMMYFUNCTION("""COMPUTED_VALUE"""),3.0)</f>
        <v>3</v>
      </c>
      <c r="E7" s="202" t="str">
        <f>IFERROR(__xludf.DUMMYFUNCTION("""COMPUTED_VALUE"""),"07.00-08.40")</f>
        <v>07.00-08.40</v>
      </c>
      <c r="F7" s="202" t="str">
        <f>IFERROR(__xludf.DUMMYFUNCTION("""COMPUTED_VALUE"""),"Online")</f>
        <v>Online</v>
      </c>
      <c r="G7" s="203">
        <f>IFERROR(__xludf.DUMMYFUNCTION("""COMPUTED_VALUE"""),0.9230769230769231)</f>
        <v>0.9230769231</v>
      </c>
      <c r="H7" s="200">
        <f>IFERROR(__xludf.DUMMYFUNCTION("""COMPUTED_VALUE"""),0.8125)</f>
        <v>0.8125</v>
      </c>
      <c r="I7" s="120"/>
      <c r="J7" s="89" t="str">
        <f>IFERROR(__xludf.DUMMYFUNCTION("QUERY(Database!B7:J58, ""select C, D, E, F, G, H, I where B = 2"", 0)
"),"Kalkulus Lanjut")</f>
        <v>Kalkulus Lanjut</v>
      </c>
      <c r="K7" s="200" t="str">
        <f>IFERROR(__xludf.DUMMYFUNCTION("""COMPUTED_VALUE"""),"Kamis")</f>
        <v>Kamis</v>
      </c>
      <c r="L7" s="201">
        <f>IFERROR(__xludf.DUMMYFUNCTION("""COMPUTED_VALUE"""),3.0)</f>
        <v>3</v>
      </c>
      <c r="M7" s="202"/>
      <c r="N7" s="202"/>
      <c r="O7" s="200"/>
      <c r="P7" s="200"/>
      <c r="Q7" s="120"/>
      <c r="R7" s="89" t="str">
        <f>IFERROR(__xludf.DUMMYFUNCTION("QUERY(Database!B7:J58, ""select C, D, E, F, G, H, I where B = 3"", 0)
"),"Statistika Inferensial")</f>
        <v>Statistika Inferensial</v>
      </c>
      <c r="S7" s="200"/>
      <c r="T7" s="201">
        <f>IFERROR(__xludf.DUMMYFUNCTION("""COMPUTED_VALUE"""),3.0)</f>
        <v>3</v>
      </c>
      <c r="U7" s="202"/>
      <c r="V7" s="202"/>
      <c r="W7" s="200"/>
      <c r="X7" s="200"/>
      <c r="Y7" s="159"/>
    </row>
    <row r="8">
      <c r="A8" s="159"/>
      <c r="B8" s="200" t="str">
        <f>IFERROR(__xludf.DUMMYFUNCTION("""COMPUTED_VALUE"""),"Matematika Diskrit")</f>
        <v>Matematika Diskrit</v>
      </c>
      <c r="C8" s="200" t="str">
        <f>IFERROR(__xludf.DUMMYFUNCTION("""COMPUTED_VALUE"""),"Senin")</f>
        <v>Senin</v>
      </c>
      <c r="D8" s="201">
        <f>IFERROR(__xludf.DUMMYFUNCTION("""COMPUTED_VALUE"""),3.0)</f>
        <v>3</v>
      </c>
      <c r="E8" s="202" t="str">
        <f>IFERROR(__xludf.DUMMYFUNCTION("""COMPUTED_VALUE"""),"09.30-12.00")</f>
        <v>09.30-12.00</v>
      </c>
      <c r="F8" s="202" t="str">
        <f>IFERROR(__xludf.DUMMYFUNCTION("""COMPUTED_VALUE"""),"E2.01.08")</f>
        <v>E2.01.08</v>
      </c>
      <c r="G8" s="200">
        <f>IFERROR(__xludf.DUMMYFUNCTION("""COMPUTED_VALUE"""),1.0)</f>
        <v>1</v>
      </c>
      <c r="H8" s="200">
        <f>IFERROR(__xludf.DUMMYFUNCTION("""COMPUTED_VALUE"""),0.8125)</f>
        <v>0.8125</v>
      </c>
      <c r="I8" s="159"/>
      <c r="J8" s="89" t="str">
        <f>IFERROR(__xludf.DUMMYFUNCTION("""COMPUTED_VALUE"""),"Struktur Data dan Algoritma")</f>
        <v>Struktur Data dan Algoritma</v>
      </c>
      <c r="K8" s="200"/>
      <c r="L8" s="201">
        <f>IFERROR(__xludf.DUMMYFUNCTION("""COMPUTED_VALUE"""),3.0)</f>
        <v>3</v>
      </c>
      <c r="M8" s="202"/>
      <c r="N8" s="202"/>
      <c r="O8" s="200"/>
      <c r="P8" s="200"/>
      <c r="Q8" s="159"/>
      <c r="R8" s="89" t="str">
        <f>IFERROR(__xludf.DUMMYFUNCTION("""COMPUTED_VALUE"""),"Kecerdasan Artifisial")</f>
        <v>Kecerdasan Artifisial</v>
      </c>
      <c r="S8" s="200"/>
      <c r="T8" s="201">
        <f>IFERROR(__xludf.DUMMYFUNCTION("""COMPUTED_VALUE"""),3.0)</f>
        <v>3</v>
      </c>
      <c r="U8" s="202"/>
      <c r="V8" s="202"/>
      <c r="W8" s="200"/>
      <c r="X8" s="200"/>
      <c r="Y8" s="159"/>
    </row>
    <row r="9">
      <c r="A9" s="159"/>
      <c r="B9" s="200" t="str">
        <f>IFERROR(__xludf.DUMMYFUNCTION("""COMPUTED_VALUE"""),"Pancasila")</f>
        <v>Pancasila</v>
      </c>
      <c r="C9" s="200" t="str">
        <f>IFERROR(__xludf.DUMMYFUNCTION("""COMPUTED_VALUE"""),"Selasa")</f>
        <v>Selasa</v>
      </c>
      <c r="D9" s="201">
        <f>IFERROR(__xludf.DUMMYFUNCTION("""COMPUTED_VALUE"""),3.0)</f>
        <v>3</v>
      </c>
      <c r="E9" s="202" t="str">
        <f>IFERROR(__xludf.DUMMYFUNCTION("""COMPUTED_VALUE"""),"10.20-12.00")</f>
        <v>10.20-12.00</v>
      </c>
      <c r="F9" s="202" t="str">
        <f>IFERROR(__xludf.DUMMYFUNCTION("""COMPUTED_VALUE"""),"Online")</f>
        <v>Online</v>
      </c>
      <c r="G9" s="200">
        <f>IFERROR(__xludf.DUMMYFUNCTION("""COMPUTED_VALUE"""),1.0)</f>
        <v>1</v>
      </c>
      <c r="H9" s="200">
        <f>IFERROR(__xludf.DUMMYFUNCTION("""COMPUTED_VALUE"""),0.8125)</f>
        <v>0.8125</v>
      </c>
      <c r="I9" s="159"/>
      <c r="J9" s="89" t="str">
        <f>IFERROR(__xludf.DUMMYFUNCTION("""COMPUTED_VALUE"""),"Pendidikan Kewarganegaraan")</f>
        <v>Pendidikan Kewarganegaraan</v>
      </c>
      <c r="K9" s="200"/>
      <c r="L9" s="201">
        <f>IFERROR(__xludf.DUMMYFUNCTION("""COMPUTED_VALUE"""),2.0)</f>
        <v>2</v>
      </c>
      <c r="M9" s="202"/>
      <c r="N9" s="202"/>
      <c r="O9" s="200"/>
      <c r="P9" s="200"/>
      <c r="Q9" s="159"/>
      <c r="R9" s="89" t="str">
        <f>IFERROR(__xludf.DUMMYFUNCTION("""COMPUTED_VALUE"""),"Keamanan dan Integritas Data")</f>
        <v>Keamanan dan Integritas Data</v>
      </c>
      <c r="S9" s="200"/>
      <c r="T9" s="201">
        <f>IFERROR(__xludf.DUMMYFUNCTION("""COMPUTED_VALUE"""),3.0)</f>
        <v>3</v>
      </c>
      <c r="U9" s="202"/>
      <c r="V9" s="202"/>
      <c r="W9" s="200"/>
      <c r="X9" s="200"/>
      <c r="Y9" s="159"/>
    </row>
    <row r="10">
      <c r="A10" s="165" t="s">
        <v>8</v>
      </c>
      <c r="B10" s="200" t="str">
        <f>IFERROR(__xludf.DUMMYFUNCTION("""COMPUTED_VALUE"""),"Pemograman Dasar")</f>
        <v>Pemograman Dasar</v>
      </c>
      <c r="C10" s="200" t="str">
        <f>IFERROR(__xludf.DUMMYFUNCTION("""COMPUTED_VALUE"""),"Selasa")</f>
        <v>Selasa</v>
      </c>
      <c r="D10" s="201">
        <f>IFERROR(__xludf.DUMMYFUNCTION("""COMPUTED_VALUE"""),2.0)</f>
        <v>2</v>
      </c>
      <c r="E10" s="202" t="str">
        <f>IFERROR(__xludf.DUMMYFUNCTION("""COMPUTED_VALUE"""),"13.00-15.30")</f>
        <v>13.00-15.30</v>
      </c>
      <c r="F10" s="202" t="str">
        <f>IFERROR(__xludf.DUMMYFUNCTION("""COMPUTED_VALUE"""),"E2.01.07")</f>
        <v>E2.01.07</v>
      </c>
      <c r="G10" s="203">
        <f>IFERROR(__xludf.DUMMYFUNCTION("""COMPUTED_VALUE"""),0.8461538461538461)</f>
        <v>0.8461538462</v>
      </c>
      <c r="H10" s="200">
        <f>IFERROR(__xludf.DUMMYFUNCTION("""COMPUTED_VALUE"""),0.8125)</f>
        <v>0.8125</v>
      </c>
      <c r="I10" s="159"/>
      <c r="J10" s="89" t="str">
        <f>IFERROR(__xludf.DUMMYFUNCTION("""COMPUTED_VALUE"""),"Pendidikan Agama")</f>
        <v>Pendidikan Agama</v>
      </c>
      <c r="K10" s="200"/>
      <c r="L10" s="201">
        <f>IFERROR(__xludf.DUMMYFUNCTION("""COMPUTED_VALUE"""),2.0)</f>
        <v>2</v>
      </c>
      <c r="M10" s="202"/>
      <c r="N10" s="202"/>
      <c r="O10" s="200"/>
      <c r="P10" s="200"/>
      <c r="Q10" s="159"/>
      <c r="R10" s="89" t="str">
        <f>IFERROR(__xludf.DUMMYFUNCTION("""COMPUTED_VALUE"""),"Pemrosesan Teks")</f>
        <v>Pemrosesan Teks</v>
      </c>
      <c r="S10" s="200"/>
      <c r="T10" s="201">
        <f>IFERROR(__xludf.DUMMYFUNCTION("""COMPUTED_VALUE"""),3.0)</f>
        <v>3</v>
      </c>
      <c r="U10" s="202"/>
      <c r="V10" s="202"/>
      <c r="W10" s="200"/>
      <c r="X10" s="200"/>
      <c r="Y10" s="159"/>
    </row>
    <row r="11">
      <c r="A11" s="159"/>
      <c r="B11" s="200" t="str">
        <f>IFERROR(__xludf.DUMMYFUNCTION("""COMPUTED_VALUE"""),"Praktikum")</f>
        <v>Praktikum</v>
      </c>
      <c r="C11" s="200" t="str">
        <f>IFERROR(__xludf.DUMMYFUNCTION("""COMPUTED_VALUE"""),"Rabu")</f>
        <v>Rabu</v>
      </c>
      <c r="D11" s="201">
        <f>IFERROR(__xludf.DUMMYFUNCTION("""COMPUTED_VALUE"""),2.0)</f>
        <v>2</v>
      </c>
      <c r="E11" s="202" t="str">
        <f>IFERROR(__xludf.DUMMYFUNCTION("""COMPUTED_VALUE"""),"15.30-17.10")</f>
        <v>15.30-17.10</v>
      </c>
      <c r="F11" s="202" t="str">
        <f>IFERROR(__xludf.DUMMYFUNCTION("""COMPUTED_VALUE"""),"C1.04")</f>
        <v>C1.04</v>
      </c>
      <c r="G11" s="200">
        <f>IFERROR(__xludf.DUMMYFUNCTION("""COMPUTED_VALUE"""),1.0)</f>
        <v>1</v>
      </c>
      <c r="H11" s="200">
        <f>IFERROR(__xludf.DUMMYFUNCTION("""COMPUTED_VALUE"""),0.8125)</f>
        <v>0.8125</v>
      </c>
      <c r="I11" s="159"/>
      <c r="J11" s="89" t="str">
        <f>IFERROR(__xludf.DUMMYFUNCTION("""COMPUTED_VALUE"""),"Konservasi Sumber Daya Alam dan Lingkungan")</f>
        <v>Konservasi Sumber Daya Alam dan Lingkungan</v>
      </c>
      <c r="K11" s="200"/>
      <c r="L11" s="201">
        <f>IFERROR(__xludf.DUMMYFUNCTION("""COMPUTED_VALUE"""),2.0)</f>
        <v>2</v>
      </c>
      <c r="M11" s="202"/>
      <c r="N11" s="202"/>
      <c r="O11" s="200"/>
      <c r="P11" s="200"/>
      <c r="Q11" s="165" t="s">
        <v>8</v>
      </c>
      <c r="R11" s="89" t="str">
        <f>IFERROR(__xludf.DUMMYFUNCTION("""COMPUTED_VALUE"""),"Basis Data")</f>
        <v>Basis Data</v>
      </c>
      <c r="S11" s="200"/>
      <c r="T11" s="201">
        <f>IFERROR(__xludf.DUMMYFUNCTION("""COMPUTED_VALUE"""),3.0)</f>
        <v>3</v>
      </c>
      <c r="U11" s="202"/>
      <c r="V11" s="202"/>
      <c r="W11" s="200"/>
      <c r="X11" s="200"/>
      <c r="Y11" s="159"/>
    </row>
    <row r="12">
      <c r="A12" s="159"/>
      <c r="B12" s="204" t="str">
        <f>IFERROR(__xludf.DUMMYFUNCTION("""COMPUTED_VALUE"""),"Arsitektur Komputer dan Sistem Operasi")</f>
        <v>Arsitektur Komputer dan Sistem Operasi</v>
      </c>
      <c r="C12" s="204" t="str">
        <f>IFERROR(__xludf.DUMMYFUNCTION("""COMPUTED_VALUE"""),"Kamis")</f>
        <v>Kamis</v>
      </c>
      <c r="D12" s="201">
        <f>IFERROR(__xludf.DUMMYFUNCTION("""COMPUTED_VALUE"""),3.0)</f>
        <v>3</v>
      </c>
      <c r="E12" s="205" t="str">
        <f>IFERROR(__xludf.DUMMYFUNCTION("""COMPUTED_VALUE"""),"07.00-09.30")</f>
        <v>07.00-09.30</v>
      </c>
      <c r="F12" s="205" t="str">
        <f>IFERROR(__xludf.DUMMYFUNCTION("""COMPUTED_VALUE"""),"E2.01.08")</f>
        <v>E2.01.08</v>
      </c>
      <c r="G12" s="203">
        <f>IFERROR(__xludf.DUMMYFUNCTION("""COMPUTED_VALUE"""),1.0)</f>
        <v>1</v>
      </c>
      <c r="H12" s="204">
        <f>IFERROR(__xludf.DUMMYFUNCTION("""COMPUTED_VALUE"""),0.8125)</f>
        <v>0.8125</v>
      </c>
      <c r="I12" s="159"/>
      <c r="J12" s="89" t="str">
        <f>IFERROR(__xludf.DUMMYFUNCTION("""COMPUTED_VALUE"""),"Teori Probabilitas")</f>
        <v>Teori Probabilitas</v>
      </c>
      <c r="K12" s="204"/>
      <c r="L12" s="201">
        <f>IFERROR(__xludf.DUMMYFUNCTION("""COMPUTED_VALUE"""),3.0)</f>
        <v>3</v>
      </c>
      <c r="M12" s="205"/>
      <c r="N12" s="205"/>
      <c r="O12" s="200"/>
      <c r="P12" s="204"/>
      <c r="Q12" s="159"/>
      <c r="R12" s="89" t="str">
        <f>IFERROR(__xludf.DUMMYFUNCTION("""COMPUTED_VALUE"""),"Desain dan Analisis Algoritma")</f>
        <v>Desain dan Analisis Algoritma</v>
      </c>
      <c r="S12" s="204"/>
      <c r="T12" s="201">
        <f>IFERROR(__xludf.DUMMYFUNCTION("""COMPUTED_VALUE"""),3.0)</f>
        <v>3</v>
      </c>
      <c r="U12" s="205"/>
      <c r="V12" s="205"/>
      <c r="W12" s="200"/>
      <c r="X12" s="204"/>
      <c r="Y12" s="159"/>
    </row>
    <row r="13">
      <c r="A13" s="159"/>
      <c r="B13" s="204" t="str">
        <f>IFERROR(__xludf.DUMMYFUNCTION("""COMPUTED_VALUE"""),"Aljabar Matriks")</f>
        <v>Aljabar Matriks</v>
      </c>
      <c r="C13" s="204" t="str">
        <f>IFERROR(__xludf.DUMMYFUNCTION("""COMPUTED_VALUE"""),"Kamis")</f>
        <v>Kamis</v>
      </c>
      <c r="D13" s="201">
        <f>IFERROR(__xludf.DUMMYFUNCTION("""COMPUTED_VALUE"""),3.0)</f>
        <v>3</v>
      </c>
      <c r="E13" s="205" t="str">
        <f>IFERROR(__xludf.DUMMYFUNCTION("""COMPUTED_VALUE"""),"09.30-12.00")</f>
        <v>09.30-12.00</v>
      </c>
      <c r="F13" s="205" t="str">
        <f>IFERROR(__xludf.DUMMYFUNCTION("""COMPUTED_VALUE"""),"E2.01.07")</f>
        <v>E2.01.07</v>
      </c>
      <c r="G13" s="200">
        <f>IFERROR(__xludf.DUMMYFUNCTION("""COMPUTED_VALUE"""),1.0)</f>
        <v>1</v>
      </c>
      <c r="H13" s="204">
        <f>IFERROR(__xludf.DUMMYFUNCTION("""COMPUTED_VALUE"""),0.8125)</f>
        <v>0.8125</v>
      </c>
      <c r="I13" s="159"/>
      <c r="J13" s="89" t="str">
        <f>IFERROR(__xludf.DUMMYFUNCTION("""COMPUTED_VALUE"""),"Interaksi Manusia dan Komputer")</f>
        <v>Interaksi Manusia dan Komputer</v>
      </c>
      <c r="K13" s="204"/>
      <c r="L13" s="201">
        <f>IFERROR(__xludf.DUMMYFUNCTION("""COMPUTED_VALUE"""),3.0)</f>
        <v>3</v>
      </c>
      <c r="M13" s="205"/>
      <c r="N13" s="205"/>
      <c r="O13" s="200"/>
      <c r="P13" s="204"/>
      <c r="Q13" s="159"/>
      <c r="R13" s="89" t="str">
        <f>IFERROR(__xludf.DUMMYFUNCTION("""COMPUTED_VALUE"""),"Pengolahan Sinyal Digital")</f>
        <v>Pengolahan Sinyal Digital</v>
      </c>
      <c r="S13" s="204"/>
      <c r="T13" s="201">
        <f>IFERROR(__xludf.DUMMYFUNCTION("""COMPUTED_VALUE"""),2.0)</f>
        <v>2</v>
      </c>
      <c r="U13" s="205"/>
      <c r="V13" s="205"/>
      <c r="W13" s="200"/>
      <c r="X13" s="204"/>
      <c r="Y13" s="159"/>
    </row>
    <row r="14">
      <c r="A14" s="159"/>
      <c r="B14" s="204" t="str">
        <f>IFERROR(__xludf.DUMMYFUNCTION("""COMPUTED_VALUE"""),"Matematika Dasar")</f>
        <v>Matematika Dasar</v>
      </c>
      <c r="C14" s="204" t="str">
        <f>IFERROR(__xludf.DUMMYFUNCTION("""COMPUTED_VALUE"""),"Jumat")</f>
        <v>Jumat</v>
      </c>
      <c r="D14" s="201">
        <f>IFERROR(__xludf.DUMMYFUNCTION("""COMPUTED_VALUE"""),3.0)</f>
        <v>3</v>
      </c>
      <c r="E14" s="205" t="str">
        <f>IFERROR(__xludf.DUMMYFUNCTION("""COMPUTED_VALUE"""),"13.00-15.30")</f>
        <v>13.00-15.30</v>
      </c>
      <c r="F14" s="205" t="str">
        <f>IFERROR(__xludf.DUMMYFUNCTION("""COMPUTED_VALUE"""),"E2.01.10")</f>
        <v>E2.01.10</v>
      </c>
      <c r="G14" s="204">
        <f>IFERROR(__xludf.DUMMYFUNCTION("""COMPUTED_VALUE"""),1.0)</f>
        <v>1</v>
      </c>
      <c r="H14" s="204">
        <f>IFERROR(__xludf.DUMMYFUNCTION("""COMPUTED_VALUE"""),0.8125)</f>
        <v>0.8125</v>
      </c>
      <c r="I14" s="159"/>
      <c r="J14" s="89" t="str">
        <f>IFERROR(__xludf.DUMMYFUNCTION("""COMPUTED_VALUE"""),"Etika Kecerdasan Artifisial")</f>
        <v>Etika Kecerdasan Artifisial</v>
      </c>
      <c r="K14" s="204"/>
      <c r="L14" s="201">
        <f>IFERROR(__xludf.DUMMYFUNCTION("""COMPUTED_VALUE"""),2.0)</f>
        <v>2</v>
      </c>
      <c r="M14" s="205"/>
      <c r="N14" s="205"/>
      <c r="O14" s="204"/>
      <c r="P14" s="204"/>
      <c r="Q14" s="159"/>
      <c r="R14" s="89" t="str">
        <f>IFERROR(__xludf.DUMMYFUNCTION("""COMPUTED_VALUE"""),"Bahasa Indonesia")</f>
        <v>Bahasa Indonesia</v>
      </c>
      <c r="S14" s="204"/>
      <c r="T14" s="201">
        <f>IFERROR(__xludf.DUMMYFUNCTION("""COMPUTED_VALUE"""),2.0)</f>
        <v>2</v>
      </c>
      <c r="U14" s="205"/>
      <c r="V14" s="205"/>
      <c r="W14" s="204"/>
      <c r="X14" s="204"/>
      <c r="Y14" s="159"/>
    </row>
    <row r="15">
      <c r="A15" s="159"/>
      <c r="B15" s="159"/>
      <c r="C15" s="159"/>
      <c r="D15" s="159"/>
      <c r="E15" s="159"/>
      <c r="F15" s="159"/>
      <c r="G15" s="159"/>
      <c r="H15" s="159"/>
      <c r="I15" s="159"/>
      <c r="J15" s="159"/>
      <c r="K15" s="159"/>
      <c r="L15" s="159"/>
      <c r="M15" s="159"/>
      <c r="N15" s="159"/>
      <c r="O15" s="159"/>
      <c r="P15" s="159"/>
      <c r="Q15" s="159"/>
      <c r="R15" s="159"/>
      <c r="S15" s="159"/>
      <c r="T15" s="159"/>
      <c r="U15" s="159"/>
      <c r="V15" s="159"/>
      <c r="W15" s="206" t="s">
        <v>8</v>
      </c>
      <c r="X15" s="159"/>
      <c r="Y15" s="159"/>
    </row>
    <row r="16">
      <c r="A16" s="159"/>
      <c r="B16" s="159"/>
      <c r="C16" s="159"/>
      <c r="D16" s="159"/>
      <c r="E16" s="159"/>
      <c r="F16" s="159"/>
      <c r="G16" s="159"/>
      <c r="H16" s="159"/>
      <c r="I16" s="206" t="s">
        <v>8</v>
      </c>
      <c r="J16" s="159"/>
      <c r="K16" s="206"/>
      <c r="L16" s="159"/>
      <c r="M16" s="159"/>
      <c r="N16" s="159"/>
      <c r="O16" s="159"/>
      <c r="P16" s="159"/>
      <c r="Q16" s="159"/>
      <c r="R16" s="159"/>
      <c r="S16" s="159"/>
      <c r="T16" s="159"/>
      <c r="U16" s="159"/>
      <c r="V16" s="159"/>
      <c r="W16" s="159"/>
      <c r="X16" s="159"/>
      <c r="Y16" s="206" t="s">
        <v>8</v>
      </c>
    </row>
    <row r="17" ht="22.5" customHeight="1">
      <c r="A17" s="159"/>
      <c r="B17" s="57" t="s">
        <v>41</v>
      </c>
      <c r="C17" s="57" t="s">
        <v>42</v>
      </c>
      <c r="D17" s="57" t="s">
        <v>43</v>
      </c>
      <c r="E17" s="57" t="s">
        <v>44</v>
      </c>
      <c r="F17" s="57" t="s">
        <v>45</v>
      </c>
      <c r="G17" s="57" t="s">
        <v>124</v>
      </c>
      <c r="H17" s="57" t="s">
        <v>49</v>
      </c>
      <c r="I17" s="159"/>
      <c r="J17" s="57" t="s">
        <v>41</v>
      </c>
      <c r="K17" s="57" t="s">
        <v>42</v>
      </c>
      <c r="L17" s="57" t="s">
        <v>43</v>
      </c>
      <c r="M17" s="57" t="s">
        <v>44</v>
      </c>
      <c r="N17" s="57" t="s">
        <v>45</v>
      </c>
      <c r="O17" s="57" t="s">
        <v>124</v>
      </c>
      <c r="P17" s="57" t="s">
        <v>49</v>
      </c>
      <c r="Q17" s="159"/>
      <c r="R17" s="57" t="s">
        <v>41</v>
      </c>
      <c r="S17" s="57" t="s">
        <v>42</v>
      </c>
      <c r="T17" s="57" t="s">
        <v>43</v>
      </c>
      <c r="U17" s="57" t="s">
        <v>44</v>
      </c>
      <c r="V17" s="57" t="s">
        <v>45</v>
      </c>
      <c r="W17" s="57" t="s">
        <v>124</v>
      </c>
      <c r="X17" s="57" t="s">
        <v>49</v>
      </c>
      <c r="Y17" s="159"/>
    </row>
    <row r="18" ht="22.5" customHeight="1">
      <c r="A18" s="171"/>
      <c r="B18" s="89" t="str">
        <f>IFERROR(__xludf.DUMMYFUNCTION("QUERY(Database!B7:J58, ""select C, D, E, F, G, H, I where B = 4"", 0)
"),"Penambangan Data")</f>
        <v>Penambangan Data</v>
      </c>
      <c r="C18" s="200"/>
      <c r="D18" s="207">
        <f>IFERROR(__xludf.DUMMYFUNCTION("""COMPUTED_VALUE"""),3.0)</f>
        <v>3</v>
      </c>
      <c r="E18" s="202"/>
      <c r="F18" s="202"/>
      <c r="G18" s="200"/>
      <c r="H18" s="200"/>
      <c r="I18" s="171"/>
      <c r="J18" s="208" t="str">
        <f>IFERROR(__xludf.DUMMYFUNCTION("QUERY(Database!B7:J58, ""select C, D, E, F, G, H, I where B = 5"", 0)
"),"Tata Tulis Ilmiah")</f>
        <v>Tata Tulis Ilmiah</v>
      </c>
      <c r="K18" s="201"/>
      <c r="L18" s="209">
        <f>IFERROR(__xludf.DUMMYFUNCTION("""COMPUTED_VALUE"""),2.0)</f>
        <v>2</v>
      </c>
      <c r="M18" s="209"/>
      <c r="N18" s="209"/>
      <c r="O18" s="210"/>
      <c r="P18" s="210"/>
      <c r="Q18" s="171"/>
      <c r="R18" s="208" t="str">
        <f>IFERROR(__xludf.DUMMYFUNCTION("QUERY(Database!B7:J58, ""select C, D, E, F, G, H, I where B = 6"", 0)
"),"Manajemen Risiko")</f>
        <v>Manajemen Risiko</v>
      </c>
      <c r="S18" s="201"/>
      <c r="T18" s="209">
        <f>IFERROR(__xludf.DUMMYFUNCTION("""COMPUTED_VALUE"""),3.0)</f>
        <v>3</v>
      </c>
      <c r="U18" s="209"/>
      <c r="V18" s="209"/>
      <c r="W18" s="210"/>
      <c r="X18" s="210"/>
      <c r="Y18" s="171"/>
    </row>
    <row r="19">
      <c r="A19" s="171"/>
      <c r="B19" s="89" t="str">
        <f>IFERROR(__xludf.DUMMYFUNCTION("""COMPUTED_VALUE"""),"Data Warehouse dan Komputasi Terdistribusi")</f>
        <v>Data Warehouse dan Komputasi Terdistribusi</v>
      </c>
      <c r="C19" s="200"/>
      <c r="D19" s="207">
        <f>IFERROR(__xludf.DUMMYFUNCTION("""COMPUTED_VALUE"""),3.0)</f>
        <v>3</v>
      </c>
      <c r="E19" s="202"/>
      <c r="F19" s="202"/>
      <c r="G19" s="200"/>
      <c r="H19" s="200"/>
      <c r="I19" s="171"/>
      <c r="J19" s="89" t="str">
        <f>IFERROR(__xludf.DUMMYFUNCTION("""COMPUTED_VALUE"""),"Komunikasi Publik")</f>
        <v>Komunikasi Publik</v>
      </c>
      <c r="K19" s="89"/>
      <c r="L19" s="201">
        <f>IFERROR(__xludf.DUMMYFUNCTION("""COMPUTED_VALUE"""),2.0)</f>
        <v>2</v>
      </c>
      <c r="M19" s="201"/>
      <c r="N19" s="201"/>
      <c r="O19" s="203"/>
      <c r="P19" s="203"/>
      <c r="Q19" s="171"/>
      <c r="R19" s="89" t="str">
        <f>IFERROR(__xludf.DUMMYFUNCTION("""COMPUTED_VALUE"""),"Pilihan 7")</f>
        <v>Pilihan 7</v>
      </c>
      <c r="S19" s="89"/>
      <c r="T19" s="201">
        <f>IFERROR(__xludf.DUMMYFUNCTION("""COMPUTED_VALUE"""),3.0)</f>
        <v>3</v>
      </c>
      <c r="U19" s="201"/>
      <c r="V19" s="201"/>
      <c r="W19" s="203"/>
      <c r="X19" s="203"/>
      <c r="Y19" s="171"/>
    </row>
    <row r="20">
      <c r="A20" s="171"/>
      <c r="B20" s="89" t="str">
        <f>IFERROR(__xludf.DUMMYFUNCTION("""COMPUTED_VALUE"""),"Pengolahan Citra Digital")</f>
        <v>Pengolahan Citra Digital</v>
      </c>
      <c r="C20" s="200"/>
      <c r="D20" s="207">
        <f>IFERROR(__xludf.DUMMYFUNCTION("""COMPUTED_VALUE"""),3.0)</f>
        <v>3</v>
      </c>
      <c r="E20" s="202"/>
      <c r="F20" s="202"/>
      <c r="G20" s="200"/>
      <c r="H20" s="200"/>
      <c r="I20" s="171"/>
      <c r="J20" s="89" t="str">
        <f>IFERROR(__xludf.DUMMYFUNCTION("""COMPUTED_VALUE"""),"Kewirausahaan")</f>
        <v>Kewirausahaan</v>
      </c>
      <c r="K20" s="89"/>
      <c r="L20" s="201">
        <f>IFERROR(__xludf.DUMMYFUNCTION("""COMPUTED_VALUE"""),2.0)</f>
        <v>2</v>
      </c>
      <c r="M20" s="201"/>
      <c r="N20" s="201"/>
      <c r="O20" s="203"/>
      <c r="P20" s="203"/>
      <c r="Q20" s="171"/>
      <c r="R20" s="89" t="str">
        <f>IFERROR(__xludf.DUMMYFUNCTION("""COMPUTED_VALUE"""),"Etika Profesi")</f>
        <v>Etika Profesi</v>
      </c>
      <c r="S20" s="89"/>
      <c r="T20" s="201">
        <f>IFERROR(__xludf.DUMMYFUNCTION("""COMPUTED_VALUE"""),2.0)</f>
        <v>2</v>
      </c>
      <c r="U20" s="201"/>
      <c r="V20" s="201"/>
      <c r="W20" s="203"/>
      <c r="X20" s="203"/>
      <c r="Y20" s="171"/>
    </row>
    <row r="21">
      <c r="A21" s="171"/>
      <c r="B21" s="89" t="str">
        <f>IFERROR(__xludf.DUMMYFUNCTION("""COMPUTED_VALUE"""),"Analisis Multivariat")</f>
        <v>Analisis Multivariat</v>
      </c>
      <c r="C21" s="200"/>
      <c r="D21" s="207">
        <f>IFERROR(__xludf.DUMMYFUNCTION("""COMPUTED_VALUE"""),3.0)</f>
        <v>3</v>
      </c>
      <c r="E21" s="202"/>
      <c r="F21" s="202"/>
      <c r="G21" s="200"/>
      <c r="H21" s="200"/>
      <c r="I21" s="171"/>
      <c r="J21" s="89" t="str">
        <f>IFERROR(__xludf.DUMMYFUNCTION("""COMPUTED_VALUE"""),"Pilihan 3")</f>
        <v>Pilihan 3</v>
      </c>
      <c r="K21" s="89"/>
      <c r="L21" s="201">
        <f>IFERROR(__xludf.DUMMYFUNCTION("""COMPUTED_VALUE"""),3.0)</f>
        <v>3</v>
      </c>
      <c r="M21" s="201"/>
      <c r="N21" s="201"/>
      <c r="O21" s="211"/>
      <c r="P21" s="211"/>
      <c r="Q21" s="171"/>
      <c r="R21" s="89" t="str">
        <f>IFERROR(__xludf.DUMMYFUNCTION("""COMPUTED_VALUE"""),"Kecerdasan Bisnis")</f>
        <v>Kecerdasan Bisnis</v>
      </c>
      <c r="S21" s="89"/>
      <c r="T21" s="201">
        <f>IFERROR(__xludf.DUMMYFUNCTION("""COMPUTED_VALUE"""),3.0)</f>
        <v>3</v>
      </c>
      <c r="U21" s="201"/>
      <c r="V21" s="201"/>
      <c r="W21" s="211"/>
      <c r="X21" s="211"/>
      <c r="Y21" s="171"/>
    </row>
    <row r="22">
      <c r="A22" s="171"/>
      <c r="B22" s="89" t="str">
        <f>IFERROR(__xludf.DUMMYFUNCTION("""COMPUTED_VALUE"""),"Pembelajaran Mesin Dasar")</f>
        <v>Pembelajaran Mesin Dasar</v>
      </c>
      <c r="C22" s="200"/>
      <c r="D22" s="207">
        <f>IFERROR(__xludf.DUMMYFUNCTION("""COMPUTED_VALUE"""),3.0)</f>
        <v>3</v>
      </c>
      <c r="E22" s="202"/>
      <c r="F22" s="202"/>
      <c r="G22" s="200"/>
      <c r="H22" s="200"/>
      <c r="I22" s="171"/>
      <c r="J22" s="89" t="str">
        <f>IFERROR(__xludf.DUMMYFUNCTION("""COMPUTED_VALUE"""),"Pilihan 4")</f>
        <v>Pilihan 4</v>
      </c>
      <c r="K22" s="89"/>
      <c r="L22" s="201">
        <f>IFERROR(__xludf.DUMMYFUNCTION("""COMPUTED_VALUE"""),3.0)</f>
        <v>3</v>
      </c>
      <c r="M22" s="201"/>
      <c r="N22" s="201"/>
      <c r="O22" s="211"/>
      <c r="P22" s="211"/>
      <c r="Q22" s="171"/>
      <c r="R22" s="89" t="str">
        <f>IFERROR(__xludf.DUMMYFUNCTION("""COMPUTED_VALUE"""),"SIM")</f>
        <v>SIM</v>
      </c>
      <c r="S22" s="89"/>
      <c r="T22" s="201">
        <f>IFERROR(__xludf.DUMMYFUNCTION("""COMPUTED_VALUE"""),3.0)</f>
        <v>3</v>
      </c>
      <c r="U22" s="201"/>
      <c r="V22" s="201"/>
      <c r="W22" s="211"/>
      <c r="X22" s="211"/>
      <c r="Y22" s="171"/>
    </row>
    <row r="23">
      <c r="A23" s="171"/>
      <c r="B23" s="89" t="str">
        <f>IFERROR(__xludf.DUMMYFUNCTION("""COMPUTED_VALUE"""),"Rekayasa Perangkat Lunak")</f>
        <v>Rekayasa Perangkat Lunak</v>
      </c>
      <c r="C23" s="204"/>
      <c r="D23" s="207">
        <f>IFERROR(__xludf.DUMMYFUNCTION("""COMPUTED_VALUE"""),3.0)</f>
        <v>3</v>
      </c>
      <c r="E23" s="205"/>
      <c r="F23" s="205"/>
      <c r="G23" s="200"/>
      <c r="H23" s="204"/>
      <c r="I23" s="171"/>
      <c r="J23" s="89" t="str">
        <f>IFERROR(__xludf.DUMMYFUNCTION("""COMPUTED_VALUE"""),"Pilihan 5")</f>
        <v>Pilihan 5</v>
      </c>
      <c r="K23" s="89"/>
      <c r="L23" s="201">
        <f>IFERROR(__xludf.DUMMYFUNCTION("""COMPUTED_VALUE"""),3.0)</f>
        <v>3</v>
      </c>
      <c r="M23" s="201"/>
      <c r="N23" s="201"/>
      <c r="O23" s="211"/>
      <c r="P23" s="211"/>
      <c r="Q23" s="171"/>
      <c r="R23" s="89" t="str">
        <f>IFERROR(__xludf.DUMMYFUNCTION("""COMPUTED_VALUE"""),"Manajemen Proyek")</f>
        <v>Manajemen Proyek</v>
      </c>
      <c r="S23" s="89"/>
      <c r="T23" s="201">
        <f>IFERROR(__xludf.DUMMYFUNCTION("""COMPUTED_VALUE"""),3.0)</f>
        <v>3</v>
      </c>
      <c r="U23" s="201"/>
      <c r="V23" s="201"/>
      <c r="W23" s="211"/>
      <c r="X23" s="211"/>
      <c r="Y23" s="182" t="s">
        <v>8</v>
      </c>
    </row>
    <row r="24">
      <c r="A24" s="182" t="s">
        <v>8</v>
      </c>
      <c r="B24" s="89" t="str">
        <f>IFERROR(__xludf.DUMMYFUNCTION("""COMPUTED_VALUE"""),"Pendidikan Jasmani dan Kebugaran")</f>
        <v>Pendidikan Jasmani dan Kebugaran</v>
      </c>
      <c r="C24" s="204"/>
      <c r="D24" s="207">
        <f>IFERROR(__xludf.DUMMYFUNCTION("""COMPUTED_VALUE"""),2.0)</f>
        <v>2</v>
      </c>
      <c r="E24" s="205"/>
      <c r="F24" s="205"/>
      <c r="G24" s="200"/>
      <c r="H24" s="204"/>
      <c r="I24" s="171"/>
      <c r="J24" s="89" t="str">
        <f>IFERROR(__xludf.DUMMYFUNCTION("""COMPUTED_VALUE"""),"Pilihan 6")</f>
        <v>Pilihan 6</v>
      </c>
      <c r="K24" s="89"/>
      <c r="L24" s="201">
        <f>IFERROR(__xludf.DUMMYFUNCTION("""COMPUTED_VALUE"""),3.0)</f>
        <v>3</v>
      </c>
      <c r="M24" s="201"/>
      <c r="N24" s="201"/>
      <c r="O24" s="211"/>
      <c r="P24" s="211"/>
      <c r="Q24" s="171"/>
      <c r="R24" s="89" t="str">
        <f>IFERROR(__xludf.DUMMYFUNCTION("""COMPUTED_VALUE"""),"Pilihan 8")</f>
        <v>Pilihan 8</v>
      </c>
      <c r="S24" s="89"/>
      <c r="T24" s="201">
        <f>IFERROR(__xludf.DUMMYFUNCTION("""COMPUTED_VALUE"""),3.0)</f>
        <v>3</v>
      </c>
      <c r="U24" s="201"/>
      <c r="V24" s="201"/>
      <c r="W24" s="211"/>
      <c r="X24" s="211"/>
      <c r="Y24" s="171"/>
    </row>
    <row r="25">
      <c r="A25" s="171"/>
      <c r="B25" s="171"/>
      <c r="C25" s="171"/>
      <c r="D25" s="171"/>
      <c r="E25" s="171"/>
      <c r="F25" s="171"/>
      <c r="G25" s="171"/>
      <c r="H25" s="182" t="s">
        <v>8</v>
      </c>
      <c r="I25" s="171"/>
      <c r="J25" s="89" t="str">
        <f>IFERROR(__xludf.DUMMYFUNCTION("""COMPUTED_VALUE"""),"Creative Thinking")</f>
        <v>Creative Thinking</v>
      </c>
      <c r="K25" s="89"/>
      <c r="L25" s="201">
        <f>IFERROR(__xludf.DUMMYFUNCTION("""COMPUTED_VALUE"""),2.0)</f>
        <v>2</v>
      </c>
      <c r="M25" s="201"/>
      <c r="N25" s="201"/>
      <c r="O25" s="211"/>
      <c r="P25" s="211"/>
      <c r="Q25" s="171"/>
      <c r="R25" s="171"/>
      <c r="S25" s="171"/>
      <c r="T25" s="171"/>
      <c r="U25" s="171"/>
      <c r="V25" s="171"/>
      <c r="W25" s="171"/>
      <c r="X25" s="171"/>
      <c r="Y25" s="171"/>
    </row>
    <row r="26">
      <c r="A26" s="171"/>
      <c r="B26" s="171"/>
      <c r="C26" s="182" t="s">
        <v>8</v>
      </c>
      <c r="D26" s="171"/>
      <c r="E26" s="171"/>
      <c r="F26" s="171"/>
      <c r="G26" s="171"/>
      <c r="H26" s="171"/>
      <c r="I26" s="171"/>
      <c r="J26" s="212" t="str">
        <f>IFERROR(__xludf.DUMMYFUNCTION("""COMPUTED_VALUE"""),"Bahasa Inggris")</f>
        <v>Bahasa Inggris</v>
      </c>
      <c r="K26" s="212"/>
      <c r="L26" s="201">
        <f>IFERROR(__xludf.DUMMYFUNCTION("""COMPUTED_VALUE"""),2.0)</f>
        <v>2</v>
      </c>
      <c r="M26" s="201"/>
      <c r="N26" s="201"/>
      <c r="O26" s="213"/>
      <c r="P26" s="213"/>
      <c r="Q26" s="171"/>
      <c r="R26" s="171"/>
      <c r="S26" s="171"/>
      <c r="T26" s="171"/>
      <c r="U26" s="171"/>
      <c r="V26" s="171"/>
      <c r="W26" s="171"/>
      <c r="X26" s="171"/>
      <c r="Y26" s="171"/>
    </row>
    <row r="27">
      <c r="A27" s="171"/>
      <c r="B27" s="171"/>
      <c r="C27" s="171"/>
      <c r="D27" s="171"/>
      <c r="E27" s="171"/>
      <c r="F27" s="182" t="s">
        <v>8</v>
      </c>
      <c r="G27" s="171"/>
      <c r="H27" s="171"/>
      <c r="I27" s="171"/>
      <c r="J27" s="171"/>
      <c r="K27" s="171"/>
      <c r="L27" s="171"/>
      <c r="M27" s="171"/>
      <c r="N27" s="182" t="s">
        <v>8</v>
      </c>
      <c r="O27" s="171"/>
      <c r="P27" s="171"/>
      <c r="Q27" s="171"/>
      <c r="R27" s="171"/>
      <c r="S27" s="171"/>
      <c r="T27" s="171"/>
      <c r="U27" s="171"/>
      <c r="V27" s="171"/>
      <c r="W27" s="171"/>
      <c r="X27" s="171"/>
      <c r="Y27" s="171"/>
    </row>
    <row r="28">
      <c r="A28" s="183"/>
      <c r="B28" s="183"/>
      <c r="C28" s="183"/>
      <c r="D28" s="183"/>
      <c r="E28" s="183"/>
      <c r="F28" s="183"/>
      <c r="G28" s="183"/>
      <c r="H28" s="183"/>
      <c r="I28" s="183"/>
      <c r="J28" s="183"/>
      <c r="K28" s="183"/>
      <c r="L28" s="183"/>
      <c r="M28" s="183"/>
      <c r="N28" s="183"/>
      <c r="O28" s="183"/>
      <c r="P28" s="183"/>
      <c r="Q28" s="183"/>
      <c r="R28" s="188" t="s">
        <v>8</v>
      </c>
      <c r="S28" s="183"/>
      <c r="T28" s="183"/>
      <c r="U28" s="183"/>
      <c r="V28" s="183"/>
      <c r="W28" s="183"/>
      <c r="X28" s="183"/>
      <c r="Y28" s="183"/>
    </row>
    <row r="29" ht="22.5" customHeight="1">
      <c r="A29" s="183"/>
      <c r="B29" s="57" t="s">
        <v>41</v>
      </c>
      <c r="C29" s="57" t="s">
        <v>42</v>
      </c>
      <c r="D29" s="57" t="s">
        <v>43</v>
      </c>
      <c r="E29" s="57" t="s">
        <v>44</v>
      </c>
      <c r="F29" s="57" t="s">
        <v>45</v>
      </c>
      <c r="G29" s="57" t="s">
        <v>124</v>
      </c>
      <c r="H29" s="57" t="s">
        <v>49</v>
      </c>
      <c r="I29" s="183"/>
      <c r="J29" s="57" t="s">
        <v>41</v>
      </c>
      <c r="K29" s="57" t="s">
        <v>42</v>
      </c>
      <c r="L29" s="57" t="s">
        <v>43</v>
      </c>
      <c r="M29" s="57" t="s">
        <v>44</v>
      </c>
      <c r="N29" s="57" t="s">
        <v>45</v>
      </c>
      <c r="O29" s="57" t="s">
        <v>124</v>
      </c>
      <c r="P29" s="57" t="s">
        <v>49</v>
      </c>
      <c r="Q29" s="183"/>
      <c r="R29" s="183"/>
      <c r="S29" s="183"/>
      <c r="T29" s="183"/>
      <c r="U29" s="183"/>
      <c r="V29" s="183"/>
      <c r="W29" s="188" t="s">
        <v>8</v>
      </c>
      <c r="X29" s="183"/>
      <c r="Y29" s="188" t="s">
        <v>8</v>
      </c>
    </row>
    <row r="30" ht="22.5" customHeight="1">
      <c r="A30" s="183"/>
      <c r="B30" s="91" t="str">
        <f>IFERROR(__xludf.DUMMYFUNCTION("QUERY(Database!B7:J58, ""select C, D, E, F, G, H, I where B = 7"", 0)
"),"Pembelajaran Mesin Lanjut")</f>
        <v>Pembelajaran Mesin Lanjut</v>
      </c>
      <c r="C30" s="89"/>
      <c r="D30" s="209">
        <f>IFERROR(__xludf.DUMMYFUNCTION("""COMPUTED_VALUE"""),3.0)</f>
        <v>3</v>
      </c>
      <c r="E30" s="209"/>
      <c r="F30" s="209"/>
      <c r="G30" s="210"/>
      <c r="H30" s="210"/>
      <c r="I30" s="183"/>
      <c r="J30" s="91" t="str">
        <f>IFERROR(__xludf.DUMMYFUNCTION("QUERY(Database!B7:J58, ""select C, D, E, F, G, H, I where B = 8"", 0)
"),"Tugas Akhir")</f>
        <v>Tugas Akhir</v>
      </c>
      <c r="K30" s="89"/>
      <c r="L30" s="209">
        <f>IFERROR(__xludf.DUMMYFUNCTION("""COMPUTED_VALUE"""),4.0)</f>
        <v>4</v>
      </c>
      <c r="M30" s="209"/>
      <c r="N30" s="209"/>
      <c r="O30" s="210"/>
      <c r="P30" s="210"/>
      <c r="Q30" s="183"/>
      <c r="R30" s="183"/>
      <c r="S30" s="183"/>
      <c r="T30" s="183"/>
      <c r="U30" s="183"/>
      <c r="V30" s="183"/>
      <c r="W30" s="183"/>
      <c r="X30" s="183"/>
      <c r="Y30" s="183"/>
    </row>
    <row r="31">
      <c r="A31" s="187" t="s">
        <v>8</v>
      </c>
      <c r="B31" s="89" t="str">
        <f>IFERROR(__xludf.DUMMYFUNCTION("""COMPUTED_VALUE"""),"Analisis Big Data")</f>
        <v>Analisis Big Data</v>
      </c>
      <c r="C31" s="89"/>
      <c r="D31" s="201">
        <f>IFERROR(__xludf.DUMMYFUNCTION("""COMPUTED_VALUE"""),3.0)</f>
        <v>3</v>
      </c>
      <c r="E31" s="201"/>
      <c r="F31" s="201"/>
      <c r="G31" s="203"/>
      <c r="H31" s="203"/>
      <c r="I31" s="183"/>
      <c r="J31" s="89"/>
      <c r="K31" s="89"/>
      <c r="L31" s="201"/>
      <c r="M31" s="201"/>
      <c r="N31" s="201"/>
      <c r="O31" s="203"/>
      <c r="P31" s="203"/>
      <c r="Q31" s="183"/>
      <c r="R31" s="183"/>
      <c r="S31" s="183"/>
      <c r="T31" s="188" t="s">
        <v>8</v>
      </c>
      <c r="U31" s="183"/>
      <c r="V31" s="183"/>
      <c r="W31" s="183"/>
      <c r="X31" s="183"/>
      <c r="Y31" s="183"/>
    </row>
    <row r="32">
      <c r="A32" s="183"/>
      <c r="B32" s="89" t="str">
        <f>IFERROR(__xludf.DUMMYFUNCTION("""COMPUTED_VALUE"""),"Graf Sains Data")</f>
        <v>Graf Sains Data</v>
      </c>
      <c r="C32" s="89"/>
      <c r="D32" s="201">
        <f>IFERROR(__xludf.DUMMYFUNCTION("""COMPUTED_VALUE"""),3.0)</f>
        <v>3</v>
      </c>
      <c r="E32" s="201"/>
      <c r="F32" s="201"/>
      <c r="G32" s="203"/>
      <c r="H32" s="203"/>
      <c r="I32" s="183"/>
      <c r="J32" s="89"/>
      <c r="K32" s="89"/>
      <c r="L32" s="201"/>
      <c r="M32" s="201"/>
      <c r="N32" s="201"/>
      <c r="O32" s="203"/>
      <c r="P32" s="203"/>
      <c r="Q32" s="183"/>
      <c r="R32" s="183"/>
      <c r="S32" s="183"/>
      <c r="T32" s="183"/>
      <c r="U32" s="183"/>
      <c r="V32" s="183"/>
      <c r="W32" s="183"/>
      <c r="X32" s="183"/>
      <c r="Y32" s="183"/>
    </row>
    <row r="33">
      <c r="A33" s="183"/>
      <c r="B33" s="89" t="str">
        <f>IFERROR(__xludf.DUMMYFUNCTION("""COMPUTED_VALUE"""),"Pilihan 1")</f>
        <v>Pilihan 1</v>
      </c>
      <c r="C33" s="89"/>
      <c r="D33" s="201">
        <f>IFERROR(__xludf.DUMMYFUNCTION("""COMPUTED_VALUE"""),3.0)</f>
        <v>3</v>
      </c>
      <c r="E33" s="201"/>
      <c r="F33" s="201"/>
      <c r="G33" s="211"/>
      <c r="H33" s="211"/>
      <c r="I33" s="187" t="s">
        <v>8</v>
      </c>
      <c r="J33" s="89"/>
      <c r="K33" s="89"/>
      <c r="L33" s="201"/>
      <c r="M33" s="201"/>
      <c r="N33" s="201"/>
      <c r="O33" s="211"/>
      <c r="P33" s="211"/>
      <c r="Q33" s="183"/>
      <c r="R33" s="183"/>
      <c r="S33" s="183"/>
      <c r="T33" s="183"/>
      <c r="U33" s="183"/>
      <c r="V33" s="183"/>
      <c r="W33" s="183"/>
      <c r="X33" s="183"/>
      <c r="Y33" s="183"/>
    </row>
    <row r="34">
      <c r="A34" s="183"/>
      <c r="B34" s="89" t="str">
        <f>IFERROR(__xludf.DUMMYFUNCTION("""COMPUTED_VALUE"""),"Pilihan 2")</f>
        <v>Pilihan 2</v>
      </c>
      <c r="C34" s="89"/>
      <c r="D34" s="201">
        <f>IFERROR(__xludf.DUMMYFUNCTION("""COMPUTED_VALUE"""),3.0)</f>
        <v>3</v>
      </c>
      <c r="E34" s="201"/>
      <c r="F34" s="201"/>
      <c r="G34" s="211"/>
      <c r="H34" s="211"/>
      <c r="I34" s="183"/>
      <c r="J34" s="89"/>
      <c r="K34" s="89"/>
      <c r="L34" s="201"/>
      <c r="M34" s="201"/>
      <c r="N34" s="201"/>
      <c r="O34" s="211"/>
      <c r="P34" s="211"/>
      <c r="Q34" s="183"/>
      <c r="R34" s="183"/>
      <c r="S34" s="183"/>
      <c r="T34" s="183"/>
      <c r="U34" s="183"/>
      <c r="V34" s="183"/>
      <c r="W34" s="183"/>
      <c r="X34" s="188" t="s">
        <v>8</v>
      </c>
      <c r="Y34" s="183"/>
    </row>
    <row r="35">
      <c r="A35" s="183"/>
      <c r="B35" s="89" t="str">
        <f>IFERROR(__xludf.DUMMYFUNCTION("""COMPUTED_VALUE"""),"Proposal Tugas Akhir")</f>
        <v>Proposal Tugas Akhir</v>
      </c>
      <c r="C35" s="89"/>
      <c r="D35" s="201">
        <f>IFERROR(__xludf.DUMMYFUNCTION("""COMPUTED_VALUE"""),2.0)</f>
        <v>2</v>
      </c>
      <c r="E35" s="201"/>
      <c r="F35" s="201"/>
      <c r="G35" s="211"/>
      <c r="H35" s="211"/>
      <c r="I35" s="183"/>
      <c r="J35" s="89"/>
      <c r="K35" s="89"/>
      <c r="L35" s="201"/>
      <c r="M35" s="201"/>
      <c r="N35" s="201"/>
      <c r="O35" s="211"/>
      <c r="P35" s="211"/>
      <c r="Q35" s="183"/>
      <c r="R35" s="188" t="s">
        <v>8</v>
      </c>
      <c r="S35" s="183"/>
      <c r="T35" s="183"/>
      <c r="U35" s="183"/>
      <c r="V35" s="183"/>
      <c r="W35" s="188" t="s">
        <v>8</v>
      </c>
      <c r="X35" s="183"/>
      <c r="Y35" s="183"/>
    </row>
    <row r="36">
      <c r="A36" s="183"/>
      <c r="B36" s="183"/>
      <c r="C36" s="183"/>
      <c r="D36" s="183"/>
      <c r="E36" s="183"/>
      <c r="F36" s="183"/>
      <c r="G36" s="183"/>
      <c r="H36" s="183"/>
      <c r="I36" s="183"/>
      <c r="J36" s="183"/>
      <c r="K36" s="183"/>
      <c r="L36" s="183"/>
      <c r="M36" s="183"/>
      <c r="N36" s="183"/>
      <c r="O36" s="183"/>
      <c r="P36" s="183"/>
      <c r="Q36" s="183"/>
      <c r="R36" s="183"/>
      <c r="S36" s="183"/>
      <c r="T36" s="183"/>
      <c r="U36" s="183"/>
      <c r="V36" s="183"/>
      <c r="W36" s="183"/>
      <c r="X36" s="183"/>
      <c r="Y36" s="183"/>
    </row>
    <row r="37">
      <c r="A37" s="183"/>
      <c r="B37" s="183"/>
      <c r="C37" s="183"/>
      <c r="D37" s="183"/>
      <c r="E37" s="183"/>
      <c r="F37" s="183"/>
      <c r="G37" s="183"/>
      <c r="H37" s="183"/>
      <c r="I37" s="183"/>
      <c r="J37" s="183"/>
      <c r="K37" s="183"/>
      <c r="L37" s="183"/>
      <c r="M37" s="183"/>
      <c r="N37" s="183"/>
      <c r="O37" s="183"/>
      <c r="P37" s="183"/>
      <c r="Q37" s="183"/>
      <c r="R37" s="183"/>
      <c r="S37" s="183"/>
      <c r="T37" s="183"/>
      <c r="U37" s="183"/>
      <c r="V37" s="183"/>
      <c r="W37" s="183"/>
      <c r="X37" s="183"/>
      <c r="Y37" s="183"/>
    </row>
    <row r="38">
      <c r="A38" s="189"/>
      <c r="B38" s="189"/>
      <c r="C38" s="189"/>
      <c r="D38" s="189"/>
      <c r="E38" s="189"/>
      <c r="F38" s="189"/>
      <c r="G38" s="189"/>
      <c r="H38" s="189"/>
      <c r="I38" s="189"/>
      <c r="J38" s="189"/>
      <c r="K38" s="189"/>
      <c r="L38" s="189"/>
      <c r="M38" s="189"/>
      <c r="N38" s="189"/>
      <c r="O38" s="189"/>
      <c r="P38" s="189"/>
      <c r="Q38" s="189"/>
      <c r="R38" s="189"/>
      <c r="S38" s="189"/>
      <c r="T38" s="189"/>
      <c r="U38" s="189"/>
      <c r="V38" s="189"/>
      <c r="W38" s="189"/>
      <c r="X38" s="189"/>
      <c r="Y38" s="189"/>
    </row>
    <row r="39">
      <c r="A39" s="189"/>
      <c r="B39" s="189"/>
      <c r="C39" s="189"/>
      <c r="D39" s="189"/>
      <c r="E39" s="189"/>
      <c r="F39" s="189"/>
      <c r="G39" s="214" t="s">
        <v>8</v>
      </c>
      <c r="H39" s="189"/>
      <c r="I39" s="189"/>
      <c r="J39" s="189"/>
      <c r="K39" s="189"/>
      <c r="L39" s="189"/>
      <c r="M39" s="189"/>
      <c r="N39" s="189"/>
      <c r="O39" s="189"/>
      <c r="P39" s="189"/>
      <c r="Q39" s="189"/>
      <c r="R39" s="189"/>
      <c r="S39" s="189"/>
      <c r="T39" s="189"/>
      <c r="U39" s="189"/>
      <c r="V39" s="189"/>
      <c r="W39" s="189"/>
      <c r="X39" s="189"/>
      <c r="Y39" s="189"/>
    </row>
    <row r="40">
      <c r="A40" s="189"/>
      <c r="B40" s="189"/>
      <c r="C40" s="214" t="s">
        <v>8</v>
      </c>
      <c r="D40" s="189"/>
      <c r="E40" s="189"/>
      <c r="F40" s="189"/>
      <c r="G40" s="189"/>
      <c r="H40" s="189"/>
      <c r="I40" s="189"/>
      <c r="J40" s="189"/>
      <c r="K40" s="189"/>
      <c r="L40" s="189"/>
      <c r="M40" s="214" t="s">
        <v>8</v>
      </c>
      <c r="N40" s="189"/>
      <c r="O40" s="189"/>
      <c r="P40" s="189"/>
      <c r="Q40" s="189"/>
      <c r="R40" s="189"/>
      <c r="S40" s="189"/>
      <c r="T40" s="189"/>
      <c r="U40" s="189"/>
      <c r="V40" s="189"/>
      <c r="W40" s="189"/>
      <c r="X40" s="189"/>
      <c r="Y40" s="189"/>
    </row>
    <row r="41">
      <c r="A41" s="189"/>
      <c r="B41" s="189"/>
      <c r="C41" s="189"/>
      <c r="D41" s="189"/>
      <c r="E41" s="189"/>
      <c r="F41" s="189"/>
      <c r="G41" s="189"/>
      <c r="H41" s="189"/>
      <c r="I41" s="189"/>
      <c r="J41" s="189"/>
      <c r="K41" s="189"/>
      <c r="L41" s="189"/>
      <c r="M41" s="189"/>
      <c r="N41" s="189"/>
      <c r="O41" s="189"/>
      <c r="P41" s="189"/>
      <c r="Q41" s="189"/>
      <c r="R41" s="189"/>
      <c r="S41" s="189"/>
      <c r="T41" s="189"/>
      <c r="U41" s="189"/>
      <c r="V41" s="189"/>
      <c r="W41" s="189"/>
      <c r="X41" s="189"/>
      <c r="Y41" s="189"/>
    </row>
    <row r="42">
      <c r="A42" s="189"/>
      <c r="B42" s="189"/>
      <c r="C42" s="189"/>
      <c r="D42" s="189"/>
      <c r="E42" s="189"/>
      <c r="F42" s="189"/>
      <c r="G42" s="189"/>
      <c r="H42" s="189"/>
      <c r="I42" s="189"/>
      <c r="J42" s="189"/>
      <c r="K42" s="189"/>
      <c r="L42" s="189"/>
      <c r="M42" s="189"/>
      <c r="N42" s="189"/>
      <c r="O42" s="214" t="s">
        <v>8</v>
      </c>
      <c r="P42" s="189"/>
      <c r="Q42" s="189"/>
      <c r="R42" s="189"/>
      <c r="S42" s="189"/>
      <c r="T42" s="189"/>
      <c r="U42" s="214" t="s">
        <v>8</v>
      </c>
      <c r="V42" s="189"/>
      <c r="W42" s="189"/>
      <c r="X42" s="189"/>
      <c r="Y42" s="189"/>
    </row>
    <row r="43">
      <c r="A43" s="189"/>
      <c r="B43" s="189"/>
      <c r="C43" s="189"/>
      <c r="D43" s="189"/>
      <c r="E43" s="189"/>
      <c r="F43" s="189"/>
      <c r="G43" s="189"/>
      <c r="H43" s="189"/>
      <c r="I43" s="189"/>
      <c r="J43" s="189"/>
      <c r="K43" s="214" t="s">
        <v>8</v>
      </c>
      <c r="L43" s="189"/>
      <c r="M43" s="189"/>
      <c r="N43" s="189"/>
      <c r="O43" s="189"/>
      <c r="P43" s="189"/>
      <c r="Q43" s="214" t="s">
        <v>8</v>
      </c>
      <c r="R43" s="189"/>
      <c r="S43" s="189"/>
      <c r="T43" s="189"/>
      <c r="U43" s="189"/>
      <c r="V43" s="189"/>
      <c r="W43" s="189"/>
      <c r="X43" s="189"/>
      <c r="Y43" s="189"/>
    </row>
    <row r="44">
      <c r="A44" s="189"/>
      <c r="B44" s="189"/>
      <c r="C44" s="189"/>
      <c r="D44" s="189"/>
      <c r="E44" s="189"/>
      <c r="F44" s="189"/>
      <c r="G44" s="214" t="s">
        <v>8</v>
      </c>
      <c r="H44" s="189"/>
      <c r="I44" s="189"/>
      <c r="J44" s="189"/>
      <c r="K44" s="189"/>
      <c r="L44" s="189"/>
      <c r="M44" s="189"/>
      <c r="N44" s="189"/>
      <c r="O44" s="189"/>
      <c r="P44" s="189"/>
      <c r="Q44" s="189"/>
      <c r="R44" s="189"/>
      <c r="S44" s="189"/>
      <c r="T44" s="189"/>
      <c r="U44" s="189"/>
      <c r="V44" s="189"/>
      <c r="W44" s="189"/>
      <c r="X44" s="189"/>
      <c r="Y44" s="189"/>
    </row>
    <row r="45">
      <c r="A45" s="189"/>
      <c r="B45" s="214" t="s">
        <v>8</v>
      </c>
      <c r="C45" s="189"/>
      <c r="D45" s="189"/>
      <c r="E45" s="189"/>
      <c r="F45" s="189"/>
      <c r="G45" s="189"/>
      <c r="H45" s="189"/>
      <c r="I45" s="189"/>
      <c r="J45" s="189"/>
      <c r="K45" s="189"/>
      <c r="L45" s="189"/>
      <c r="M45" s="189"/>
      <c r="N45" s="214" t="s">
        <v>8</v>
      </c>
      <c r="O45" s="189"/>
      <c r="P45" s="189"/>
      <c r="Q45" s="189"/>
      <c r="R45" s="189"/>
      <c r="S45" s="189"/>
      <c r="T45" s="189"/>
      <c r="U45" s="189"/>
      <c r="V45" s="189"/>
      <c r="W45" s="189"/>
      <c r="X45" s="214" t="s">
        <v>8</v>
      </c>
      <c r="Y45" s="189"/>
    </row>
    <row r="46">
      <c r="A46" s="189"/>
      <c r="B46" s="189"/>
      <c r="C46" s="189"/>
      <c r="D46" s="189"/>
      <c r="E46" s="214" t="s">
        <v>8</v>
      </c>
      <c r="F46" s="189"/>
      <c r="G46" s="189"/>
      <c r="H46" s="189"/>
      <c r="I46" s="189"/>
      <c r="J46" s="189"/>
      <c r="K46" s="189"/>
      <c r="L46" s="189"/>
      <c r="M46" s="189"/>
      <c r="N46" s="189"/>
      <c r="O46" s="189"/>
      <c r="P46" s="189"/>
      <c r="Q46" s="189"/>
      <c r="R46" s="189"/>
      <c r="S46" s="189"/>
      <c r="T46" s="189"/>
      <c r="U46" s="189"/>
      <c r="V46" s="189"/>
      <c r="W46" s="189"/>
      <c r="X46" s="189"/>
      <c r="Y46" s="189"/>
    </row>
    <row r="47">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row>
    <row r="48">
      <c r="A48" s="194"/>
      <c r="B48" s="194"/>
      <c r="C48" s="194"/>
      <c r="D48" s="194"/>
      <c r="E48" s="194"/>
      <c r="F48" s="194"/>
      <c r="G48" s="194"/>
      <c r="H48" s="194"/>
      <c r="I48" s="194"/>
      <c r="J48" s="215" t="s">
        <v>8</v>
      </c>
      <c r="K48" s="194"/>
      <c r="L48" s="194"/>
      <c r="M48" s="194"/>
      <c r="N48" s="194"/>
      <c r="O48" s="194"/>
      <c r="P48" s="194"/>
      <c r="Q48" s="194"/>
      <c r="R48" s="194"/>
      <c r="S48" s="194"/>
      <c r="T48" s="194"/>
      <c r="U48" s="194"/>
      <c r="V48" s="194"/>
      <c r="W48" s="194"/>
      <c r="X48" s="194"/>
      <c r="Y48" s="194"/>
    </row>
    <row r="49">
      <c r="A49" s="194"/>
      <c r="B49" s="194"/>
      <c r="C49" s="194"/>
      <c r="D49" s="194"/>
      <c r="E49" s="194"/>
      <c r="F49" s="194"/>
      <c r="G49" s="194"/>
      <c r="H49" s="194"/>
      <c r="I49" s="194"/>
      <c r="J49" s="194"/>
      <c r="K49" s="194"/>
      <c r="L49" s="194"/>
      <c r="M49" s="194"/>
      <c r="N49" s="194"/>
      <c r="O49" s="194"/>
      <c r="P49" s="194"/>
      <c r="Q49" s="194"/>
      <c r="R49" s="194"/>
      <c r="S49" s="194"/>
      <c r="T49" s="194"/>
      <c r="U49" s="194"/>
      <c r="V49" s="194"/>
      <c r="W49" s="194"/>
      <c r="X49" s="194"/>
      <c r="Y49" s="194"/>
    </row>
    <row r="50">
      <c r="A50" s="194"/>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row>
    <row r="51">
      <c r="A51" s="194"/>
      <c r="B51" s="194"/>
      <c r="C51" s="194"/>
      <c r="D51" s="194"/>
      <c r="E51" s="194"/>
      <c r="F51" s="215" t="s">
        <v>8</v>
      </c>
      <c r="G51" s="194"/>
      <c r="H51" s="194"/>
      <c r="I51" s="194"/>
      <c r="J51" s="194"/>
      <c r="K51" s="194"/>
      <c r="L51" s="215" t="s">
        <v>8</v>
      </c>
      <c r="M51" s="194"/>
      <c r="N51" s="194"/>
      <c r="O51" s="194"/>
      <c r="P51" s="215" t="s">
        <v>8</v>
      </c>
      <c r="Q51" s="194"/>
      <c r="R51" s="194"/>
      <c r="S51" s="194"/>
      <c r="T51" s="194"/>
      <c r="U51" s="194"/>
      <c r="V51" s="194"/>
      <c r="W51" s="194"/>
      <c r="X51" s="194"/>
      <c r="Y51" s="194"/>
    </row>
    <row r="52">
      <c r="A52" s="194"/>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row>
    <row r="53">
      <c r="A53" s="194"/>
      <c r="B53" s="194"/>
      <c r="C53" s="215" t="s">
        <v>8</v>
      </c>
      <c r="D53" s="194"/>
      <c r="E53" s="194"/>
      <c r="F53" s="194"/>
      <c r="G53" s="194"/>
      <c r="H53" s="215" t="s">
        <v>8</v>
      </c>
      <c r="I53" s="194"/>
      <c r="J53" s="194"/>
      <c r="K53" s="194"/>
      <c r="L53" s="194"/>
      <c r="M53" s="194"/>
      <c r="N53" s="194"/>
      <c r="O53" s="194"/>
      <c r="P53" s="194"/>
      <c r="Q53" s="194"/>
      <c r="R53" s="194"/>
      <c r="S53" s="194"/>
      <c r="T53" s="194"/>
      <c r="U53" s="194"/>
      <c r="V53" s="194"/>
      <c r="W53" s="194"/>
      <c r="X53" s="194"/>
      <c r="Y53" s="194"/>
    </row>
    <row r="54">
      <c r="A54" s="194"/>
      <c r="B54" s="194"/>
      <c r="C54" s="194"/>
      <c r="D54" s="194"/>
      <c r="E54" s="194"/>
      <c r="F54" s="194"/>
      <c r="G54" s="194"/>
      <c r="H54" s="194"/>
      <c r="I54" s="194"/>
      <c r="J54" s="194"/>
      <c r="K54" s="215" t="s">
        <v>8</v>
      </c>
      <c r="L54" s="194"/>
      <c r="M54" s="194"/>
      <c r="N54" s="215" t="s">
        <v>8</v>
      </c>
      <c r="O54" s="194"/>
      <c r="P54" s="194"/>
      <c r="Q54" s="194"/>
      <c r="R54" s="215" t="s">
        <v>8</v>
      </c>
      <c r="S54" s="194"/>
      <c r="T54" s="194"/>
      <c r="U54" s="194"/>
      <c r="V54" s="194"/>
      <c r="W54" s="194"/>
      <c r="X54" s="194"/>
      <c r="Y54" s="194"/>
    </row>
    <row r="55">
      <c r="A55" s="194"/>
      <c r="B55" s="194"/>
      <c r="C55" s="194"/>
      <c r="D55" s="194"/>
      <c r="E55" s="194"/>
      <c r="F55" s="194"/>
      <c r="G55" s="194"/>
      <c r="H55" s="194"/>
      <c r="I55" s="194"/>
      <c r="J55" s="194"/>
      <c r="K55" s="194"/>
      <c r="L55" s="194"/>
      <c r="M55" s="194"/>
      <c r="N55" s="194"/>
      <c r="O55" s="194"/>
      <c r="P55" s="194"/>
      <c r="Q55" s="194"/>
      <c r="R55" s="194"/>
      <c r="S55" s="194"/>
      <c r="T55" s="194"/>
      <c r="U55" s="194"/>
      <c r="V55" s="194"/>
      <c r="W55" s="194"/>
      <c r="X55" s="194"/>
      <c r="Y55" s="194"/>
    </row>
    <row r="56">
      <c r="A56" s="194"/>
      <c r="B56" s="194"/>
      <c r="C56" s="194"/>
      <c r="D56" s="194"/>
      <c r="E56" s="194"/>
      <c r="F56" s="194"/>
      <c r="G56" s="194"/>
      <c r="H56" s="194"/>
      <c r="I56" s="194"/>
      <c r="J56" s="194"/>
      <c r="K56" s="194"/>
      <c r="L56" s="194"/>
      <c r="M56" s="194"/>
      <c r="N56" s="194"/>
      <c r="O56" s="194"/>
      <c r="P56" s="194"/>
      <c r="Q56" s="194"/>
      <c r="R56" s="194"/>
      <c r="S56" s="194"/>
      <c r="T56" s="194"/>
      <c r="U56" s="194"/>
      <c r="V56" s="194"/>
      <c r="W56" s="194"/>
      <c r="X56" s="194"/>
      <c r="Y56" s="194"/>
    </row>
    <row r="57">
      <c r="A57" s="194"/>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row>
    <row r="58">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row>
  </sheetData>
  <conditionalFormatting sqref="A1:H1">
    <cfRule type="colorScale" priority="1">
      <colorScale>
        <cfvo type="formula" val="0"/>
        <cfvo type="formula" val="50"/>
        <cfvo type="formula" val="100"/>
        <color rgb="FF1A1B2F"/>
        <color rgb="FF5F2EEA"/>
        <color rgb="FFB980F0"/>
      </colorScale>
    </cfRule>
  </conditionalFormatting>
  <dataValidations>
    <dataValidation type="list" allowBlank="1" showErrorMessage="1" sqref="K30">
      <formula1>"Senin,Selasa,Rabu,Kamis,Jumat,Sabtu ,Minggu,whole"</formula1>
    </dataValidation>
    <dataValidation type="list" allowBlank="1" showErrorMessage="1" sqref="C7:C14 K7:K14 S7:S14 C18:C24 S18:S24 K18:K26 C30:C35 K31:K35">
      <formula1>"Senin,Selasa,Rabu,Kamis,Jumat,Sabtu ,Minggu"</formula1>
    </dataValidation>
  </dataValidations>
  <hyperlinks>
    <hyperlink display="HOME" location="Home!A1" ref="A1"/>
    <hyperlink display="DASHBOARD" location="Dashboard!A1" ref="B1"/>
    <hyperlink display="ENTRY DATA" location="'Entry Data'!A1" ref="C1"/>
    <hyperlink display="DATA BASE" location="Database!A1" ref="D1"/>
    <hyperlink display="GRAPH" location="Graph!A1" ref="E1"/>
    <hyperlink display="JADWAL" location="'Jadwal Kuliah'!A1" ref="F1"/>
    <hyperlink display="KALENDER" location="'Kalender '!A1" ref="G1"/>
    <hyperlink display="TRACKER" location="'Tracking Matkul'!A1" ref="H1"/>
  </hyperlinks>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75"/>
  <cols>
    <col customWidth="1" min="1" max="1" width="9.5"/>
    <col customWidth="1" min="2" max="2" width="13.13"/>
    <col customWidth="1" min="3" max="3" width="15.0"/>
    <col customWidth="1" min="4" max="4" width="14.63"/>
    <col customWidth="1" min="5" max="5" width="12.88"/>
    <col customWidth="1" min="6" max="6" width="13.0"/>
    <col customWidth="1" min="7" max="7" width="13.13"/>
    <col customWidth="1" min="8" max="8" width="13.25"/>
    <col customWidth="1" min="9" max="9" width="6.5"/>
    <col customWidth="1" min="10" max="16" width="3.25"/>
    <col customWidth="1" min="17" max="17" width="8.25"/>
    <col customWidth="1" min="18" max="24" width="3.25"/>
    <col customWidth="1" min="25" max="25" width="4.13"/>
    <col customWidth="1" hidden="1" min="26" max="26" width="3.0"/>
    <col customWidth="1" min="27" max="27" width="13.63"/>
    <col customWidth="1" min="28" max="28" width="44.75"/>
    <col customWidth="1" hidden="1" min="29" max="29" width="3.0"/>
    <col customWidth="1" min="30" max="30" width="2.88"/>
    <col customWidth="1" min="31" max="31" width="3.88"/>
  </cols>
  <sheetData>
    <row r="1" ht="23.25" customHeight="1">
      <c r="A1" s="1" t="s">
        <v>0</v>
      </c>
      <c r="B1" s="2" t="s">
        <v>1</v>
      </c>
      <c r="C1" s="3" t="s">
        <v>2</v>
      </c>
      <c r="D1" s="2" t="s">
        <v>3</v>
      </c>
      <c r="E1" s="2" t="s">
        <v>4</v>
      </c>
      <c r="F1" s="3" t="s">
        <v>5</v>
      </c>
      <c r="G1" s="2" t="s">
        <v>6</v>
      </c>
      <c r="H1" s="2" t="s">
        <v>7</v>
      </c>
      <c r="I1" s="217"/>
      <c r="J1" s="217"/>
      <c r="K1" s="217"/>
      <c r="L1" s="217"/>
      <c r="M1" s="217"/>
      <c r="N1" s="217"/>
      <c r="O1" s="217"/>
      <c r="P1" s="217"/>
      <c r="Q1" s="217"/>
      <c r="R1" s="217"/>
      <c r="S1" s="217"/>
      <c r="T1" s="217"/>
      <c r="U1" s="217"/>
      <c r="V1" s="217"/>
      <c r="W1" s="217"/>
      <c r="X1" s="217"/>
      <c r="Y1" s="217"/>
      <c r="Z1" s="217"/>
      <c r="AA1" s="217"/>
      <c r="AB1" s="217"/>
      <c r="AC1" s="217"/>
      <c r="AD1" s="217"/>
      <c r="AE1" s="218"/>
    </row>
    <row r="2" ht="13.5" customHeight="1">
      <c r="A2" s="217"/>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9"/>
      <c r="AB2" s="219"/>
      <c r="AC2" s="217"/>
      <c r="AD2" s="217"/>
      <c r="AE2" s="218"/>
    </row>
    <row r="3" ht="13.5" customHeight="1">
      <c r="A3" s="220"/>
      <c r="B3" s="221"/>
      <c r="C3" s="222" t="s">
        <v>206</v>
      </c>
      <c r="D3" s="223">
        <v>2025.0</v>
      </c>
      <c r="E3" s="224"/>
      <c r="F3" s="225"/>
      <c r="G3" s="226"/>
      <c r="H3" s="226"/>
      <c r="I3" s="222" t="s">
        <v>207</v>
      </c>
      <c r="J3" s="223">
        <v>7.0</v>
      </c>
      <c r="K3" s="224"/>
      <c r="L3" s="225"/>
      <c r="M3" s="226"/>
      <c r="N3" s="226"/>
      <c r="O3" s="226"/>
      <c r="P3" s="226"/>
      <c r="Q3" s="227" t="s">
        <v>208</v>
      </c>
      <c r="R3" s="223">
        <v>1.0</v>
      </c>
      <c r="S3" s="225"/>
      <c r="T3" s="228"/>
      <c r="U3" s="220"/>
      <c r="V3" s="220"/>
      <c r="W3" s="220"/>
      <c r="X3" s="220"/>
      <c r="Y3" s="220"/>
      <c r="Z3" s="220"/>
      <c r="AA3" s="221"/>
      <c r="AB3" s="221"/>
      <c r="AC3" s="229"/>
      <c r="AD3" s="229"/>
      <c r="AE3" s="230"/>
    </row>
    <row r="4" ht="13.5" customHeight="1">
      <c r="A4" s="220"/>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31" t="s">
        <v>209</v>
      </c>
      <c r="AC4" s="220"/>
      <c r="AD4" s="220"/>
      <c r="AE4" s="230"/>
    </row>
    <row r="5" ht="13.5" customHeight="1">
      <c r="A5" s="230"/>
      <c r="B5" s="230"/>
      <c r="C5" s="230"/>
      <c r="D5" s="230"/>
      <c r="E5" s="230"/>
      <c r="F5" s="230"/>
      <c r="G5" s="230"/>
      <c r="H5" s="230"/>
      <c r="I5" s="230"/>
      <c r="J5" s="230"/>
      <c r="K5" s="230"/>
      <c r="L5" s="230"/>
      <c r="M5" s="230"/>
      <c r="N5" s="230"/>
      <c r="O5" s="230"/>
      <c r="P5" s="230"/>
      <c r="Q5" s="230"/>
      <c r="R5" s="230"/>
      <c r="S5" s="230"/>
      <c r="T5" s="230"/>
      <c r="U5" s="230"/>
      <c r="V5" s="230"/>
      <c r="W5" s="230"/>
      <c r="X5" s="230"/>
      <c r="Y5" s="230"/>
      <c r="Z5" s="230"/>
      <c r="AC5" s="230"/>
      <c r="AD5" s="230"/>
      <c r="AE5" s="230"/>
    </row>
    <row r="6" ht="36.75" customHeight="1">
      <c r="A6" s="232"/>
      <c r="B6" s="233" t="str">
        <f>IF($J$3=1,D3,D3&amp;"-"&amp;D3+1)</f>
        <v>2025-2026</v>
      </c>
      <c r="Y6" s="234"/>
      <c r="Z6" s="234"/>
      <c r="AA6" s="235" t="s">
        <v>210</v>
      </c>
      <c r="AC6" s="234"/>
      <c r="AD6" s="232"/>
      <c r="AE6" s="232"/>
    </row>
    <row r="7" ht="12.0" customHeight="1">
      <c r="A7" s="232"/>
      <c r="B7" s="236"/>
      <c r="C7" s="236"/>
      <c r="D7" s="236"/>
      <c r="E7" s="236"/>
      <c r="F7" s="236"/>
      <c r="G7" s="236"/>
      <c r="H7" s="236"/>
      <c r="I7" s="236"/>
      <c r="J7" s="236"/>
      <c r="K7" s="236"/>
      <c r="L7" s="236"/>
      <c r="M7" s="236"/>
      <c r="N7" s="236"/>
      <c r="O7" s="236"/>
      <c r="P7" s="236"/>
      <c r="Q7" s="236"/>
      <c r="R7" s="236"/>
      <c r="S7" s="236"/>
      <c r="T7" s="236"/>
      <c r="U7" s="236"/>
      <c r="V7" s="236"/>
      <c r="W7" s="236"/>
      <c r="X7" s="236"/>
      <c r="Y7" s="234"/>
      <c r="Z7" s="234"/>
      <c r="AA7" s="237"/>
      <c r="AB7" s="237"/>
      <c r="AC7" s="234"/>
      <c r="AD7" s="232"/>
      <c r="AE7" s="232"/>
    </row>
    <row r="8" ht="16.5" customHeight="1">
      <c r="A8" s="232"/>
      <c r="B8" s="238">
        <f>DATE(D3,J3,1)</f>
        <v>45839</v>
      </c>
      <c r="C8" s="239"/>
      <c r="D8" s="239"/>
      <c r="E8" s="239"/>
      <c r="F8" s="239"/>
      <c r="G8" s="239"/>
      <c r="H8" s="240"/>
      <c r="I8" s="241"/>
      <c r="J8" s="238">
        <f>DATE(YEAR(B8+42),MONTH(B8+42),1)</f>
        <v>45870</v>
      </c>
      <c r="K8" s="239"/>
      <c r="L8" s="239"/>
      <c r="M8" s="239"/>
      <c r="N8" s="239"/>
      <c r="O8" s="239"/>
      <c r="P8" s="240"/>
      <c r="Q8" s="241"/>
      <c r="R8" s="238">
        <f>DATE(YEAR(J8+42),MONTH(J8+42),1)</f>
        <v>45901</v>
      </c>
      <c r="S8" s="239"/>
      <c r="T8" s="239"/>
      <c r="U8" s="239"/>
      <c r="V8" s="239"/>
      <c r="W8" s="239"/>
      <c r="X8" s="240"/>
      <c r="Y8" s="234"/>
      <c r="Z8" s="234"/>
      <c r="AA8" s="242" t="s">
        <v>211</v>
      </c>
      <c r="AB8" s="243" t="s">
        <v>212</v>
      </c>
      <c r="AC8" s="234"/>
      <c r="AD8" s="232"/>
      <c r="AE8" s="232"/>
    </row>
    <row r="9" ht="15.0" customHeight="1">
      <c r="A9" s="244"/>
      <c r="B9" s="245" t="str">
        <f>CHOOSE(1+MOD($R$3+1-2,7),"Su","M","Tu","W","Th","F","Sa")</f>
        <v>Su</v>
      </c>
      <c r="C9" s="246" t="str">
        <f>CHOOSE(1+MOD($R$3+2-2,7),"Su","M","Tu","W","Th","F","Sa")</f>
        <v>M</v>
      </c>
      <c r="D9" s="246" t="str">
        <f>CHOOSE(1+MOD($R$3+3-2,7),"Su","M","Tu","W","Th","F","Sa")</f>
        <v>Tu</v>
      </c>
      <c r="E9" s="246" t="str">
        <f>CHOOSE(1+MOD($R$3+4-2,7),"Su","M","Tu","W","Th","F","Sa")</f>
        <v>W</v>
      </c>
      <c r="F9" s="246" t="str">
        <f>CHOOSE(1+MOD($R$3+5-2,7),"Su","M","Tu","W","Th","F","Sa")</f>
        <v>Th</v>
      </c>
      <c r="G9" s="246" t="str">
        <f>CHOOSE(1+MOD($R$3+6-2,7),"Su","M","Tu","W","Th","F","Sa")</f>
        <v>F</v>
      </c>
      <c r="H9" s="247" t="str">
        <f>CHOOSE(1+MOD($R$3+7-2,7),"Su","M","Tu","W","Th","F","Sa")</f>
        <v>Sa</v>
      </c>
      <c r="I9" s="244"/>
      <c r="J9" s="245" t="str">
        <f>CHOOSE(1+MOD($R$3+1-2,7),"Su","M","Tu","W","Th","F","Sa")</f>
        <v>Su</v>
      </c>
      <c r="K9" s="246" t="str">
        <f>CHOOSE(1+MOD($R$3+2-2,7),"Su","M","Tu","W","Th","F","Sa")</f>
        <v>M</v>
      </c>
      <c r="L9" s="246" t="str">
        <f>CHOOSE(1+MOD($R$3+3-2,7),"Su","M","Tu","W","Th","F","Sa")</f>
        <v>Tu</v>
      </c>
      <c r="M9" s="246" t="str">
        <f>CHOOSE(1+MOD($R$3+4-2,7),"Su","M","Tu","W","Th","F","Sa")</f>
        <v>W</v>
      </c>
      <c r="N9" s="246" t="str">
        <f>CHOOSE(1+MOD($R$3+5-2,7),"Su","M","Tu","W","Th","F","Sa")</f>
        <v>Th</v>
      </c>
      <c r="O9" s="246" t="str">
        <f>CHOOSE(1+MOD($R$3+6-2,7),"Su","M","Tu","W","Th","F","Sa")</f>
        <v>F</v>
      </c>
      <c r="P9" s="247" t="str">
        <f>CHOOSE(1+MOD($R$3+7-2,7),"Su","M","Tu","W","Th","F","Sa")</f>
        <v>Sa</v>
      </c>
      <c r="Q9" s="244"/>
      <c r="R9" s="245" t="str">
        <f>CHOOSE(1+MOD($R$3+1-2,7),"Su","M","Tu","W","Th","F","Sa")</f>
        <v>Su</v>
      </c>
      <c r="S9" s="246" t="str">
        <f>CHOOSE(1+MOD($R$3+2-2,7),"Su","M","Tu","W","Th","F","Sa")</f>
        <v>M</v>
      </c>
      <c r="T9" s="246" t="str">
        <f>CHOOSE(1+MOD($R$3+3-2,7),"Su","M","Tu","W","Th","F","Sa")</f>
        <v>Tu</v>
      </c>
      <c r="U9" s="246" t="str">
        <f>CHOOSE(1+MOD($R$3+4-2,7),"Su","M","Tu","W","Th","F","Sa")</f>
        <v>W</v>
      </c>
      <c r="V9" s="246" t="str">
        <f>CHOOSE(1+MOD($R$3+5-2,7),"Su","M","Tu","W","Th","F","Sa")</f>
        <v>Th</v>
      </c>
      <c r="W9" s="246" t="str">
        <f>CHOOSE(1+MOD($R$3+6-2,7),"Su","M","Tu","W","Th","F","Sa")</f>
        <v>F</v>
      </c>
      <c r="X9" s="247" t="str">
        <f>CHOOSE(1+MOD($R$3+7-2,7),"Su","M","Tu","W","Th","F","Sa")</f>
        <v>Sa</v>
      </c>
      <c r="Y9" s="244"/>
      <c r="Z9" s="248"/>
      <c r="AA9" s="249" t="s">
        <v>213</v>
      </c>
      <c r="AB9" s="250" t="s">
        <v>214</v>
      </c>
      <c r="AC9" s="248"/>
      <c r="AD9" s="244"/>
      <c r="AE9" s="244"/>
    </row>
    <row r="10" ht="13.5" customHeight="1">
      <c r="A10" s="251"/>
      <c r="B10" s="252" t="str">
        <f>IF(WEEKDAY(B8,1)=$R$3,B8,"")</f>
        <v/>
      </c>
      <c r="C10" s="252" t="str">
        <f>IF(B10="",IF(WEEKDAY(B8,1)=MOD($R$3,7)+1,B8,""),B10+1)</f>
        <v/>
      </c>
      <c r="D10" s="252">
        <f>IF(C10="",IF(WEEKDAY(B8,1)=MOD($R$3+1,7)+1,B8,""),C10+1)</f>
        <v>45839</v>
      </c>
      <c r="E10" s="252">
        <f>IF(D10="",IF(WEEKDAY(B8,1)=MOD($R$3+2,7)+1,B8,""),D10+1)</f>
        <v>45840</v>
      </c>
      <c r="F10" s="252">
        <f>IF(E10="",IF(WEEKDAY(B8,1)=MOD($R$3+3,7)+1,B8,""),E10+1)</f>
        <v>45841</v>
      </c>
      <c r="G10" s="252">
        <f>IF(F10="",IF(WEEKDAY(B8,1)=MOD($R$3+4,7)+1,B8,""),F10+1)</f>
        <v>45842</v>
      </c>
      <c r="H10" s="252">
        <f>IF(G10="",IF(WEEKDAY(B8,1)=MOD($R$3+5,7)+1,B8,""),G10+1)</f>
        <v>45843</v>
      </c>
      <c r="I10" s="244"/>
      <c r="J10" s="252" t="str">
        <f>IF(WEEKDAY(J8,1)=$R$3,J8,"")</f>
        <v/>
      </c>
      <c r="K10" s="252" t="str">
        <f>IF(J10="",IF(WEEKDAY(J8,1)=MOD($R$3,7)+1,J8,""),J10+1)</f>
        <v/>
      </c>
      <c r="L10" s="252" t="str">
        <f>IF(K10="",IF(WEEKDAY(J8,1)=MOD($R$3+1,7)+1,J8,""),K10+1)</f>
        <v/>
      </c>
      <c r="M10" s="252" t="str">
        <f>IF(L10="",IF(WEEKDAY(J8,1)=MOD($R$3+2,7)+1,J8,""),L10+1)</f>
        <v/>
      </c>
      <c r="N10" s="252" t="str">
        <f>IF(M10="",IF(WEEKDAY(J8,1)=MOD($R$3+3,7)+1,J8,""),M10+1)</f>
        <v/>
      </c>
      <c r="O10" s="252">
        <f>IF(N10="",IF(WEEKDAY(J8,1)=MOD($R$3+4,7)+1,J8,""),N10+1)</f>
        <v>45870</v>
      </c>
      <c r="P10" s="252">
        <f>IF(O10="",IF(WEEKDAY(J8,1)=MOD($R$3+5,7)+1,J8,""),O10+1)</f>
        <v>45871</v>
      </c>
      <c r="Q10" s="244"/>
      <c r="R10" s="252" t="str">
        <f>IF(WEEKDAY(R8,1)=$R$3,R8,"")</f>
        <v/>
      </c>
      <c r="S10" s="253">
        <f>IF(R10="",IF(WEEKDAY(R8,1)=MOD($R$3,7)+1,R8,""),R10+1)</f>
        <v>45901</v>
      </c>
      <c r="T10" s="252">
        <f>IF(S10="",IF(WEEKDAY(R8,1)=MOD($R$3+1,7)+1,R8,""),S10+1)</f>
        <v>45902</v>
      </c>
      <c r="U10" s="252">
        <f>IF(T10="",IF(WEEKDAY(R8,1)=MOD($R$3+2,7)+1,R8,""),T10+1)</f>
        <v>45903</v>
      </c>
      <c r="V10" s="252">
        <f>IF(U10="",IF(WEEKDAY(R8,1)=MOD($R$3+3,7)+1,R8,""),U10+1)</f>
        <v>45904</v>
      </c>
      <c r="W10" s="252">
        <f>IF(V10="",IF(WEEKDAY(R8,1)=MOD($R$3+4,7)+1,R8,""),V10+1)</f>
        <v>45905</v>
      </c>
      <c r="X10" s="252">
        <f>IF(W10="",IF(WEEKDAY(R8,1)=MOD($R$3+5,7)+1,R8,""),W10+1)</f>
        <v>45906</v>
      </c>
      <c r="Y10" s="244"/>
      <c r="Z10" s="248"/>
      <c r="AA10" s="249" t="s">
        <v>215</v>
      </c>
      <c r="AB10" s="243" t="s">
        <v>216</v>
      </c>
      <c r="AC10" s="248"/>
      <c r="AD10" s="251"/>
      <c r="AE10" s="251"/>
    </row>
    <row r="11" ht="13.5" customHeight="1">
      <c r="A11" s="251"/>
      <c r="B11" s="252">
        <f t="shared" ref="B11:B15" si="4">IF(H10="","",IF(MONTH(H10+1)&lt;&gt;MONTH(H10),"",H10+1))</f>
        <v>45844</v>
      </c>
      <c r="C11" s="252">
        <f t="shared" ref="C11:H11" si="1">IF(B11="","",IF(MONTH(B11+1)&lt;&gt;MONTH(B11),"",B11+1))</f>
        <v>45845</v>
      </c>
      <c r="D11" s="252">
        <f t="shared" si="1"/>
        <v>45846</v>
      </c>
      <c r="E11" s="252">
        <f t="shared" si="1"/>
        <v>45847</v>
      </c>
      <c r="F11" s="252">
        <f t="shared" si="1"/>
        <v>45848</v>
      </c>
      <c r="G11" s="252">
        <f t="shared" si="1"/>
        <v>45849</v>
      </c>
      <c r="H11" s="252">
        <f t="shared" si="1"/>
        <v>45850</v>
      </c>
      <c r="I11" s="244"/>
      <c r="J11" s="252">
        <f t="shared" ref="J11:J15" si="6">IF(P10="","",IF(MONTH(P10+1)&lt;&gt;MONTH(P10),"",P10+1))</f>
        <v>45872</v>
      </c>
      <c r="K11" s="252">
        <f t="shared" ref="K11:P11" si="2">IF(J11="","",IF(MONTH(J11+1)&lt;&gt;MONTH(J11),"",J11+1))</f>
        <v>45873</v>
      </c>
      <c r="L11" s="252">
        <f t="shared" si="2"/>
        <v>45874</v>
      </c>
      <c r="M11" s="252">
        <f t="shared" si="2"/>
        <v>45875</v>
      </c>
      <c r="N11" s="252">
        <f t="shared" si="2"/>
        <v>45876</v>
      </c>
      <c r="O11" s="252">
        <f t="shared" si="2"/>
        <v>45877</v>
      </c>
      <c r="P11" s="252">
        <f t="shared" si="2"/>
        <v>45878</v>
      </c>
      <c r="Q11" s="244"/>
      <c r="R11" s="252">
        <f t="shared" ref="R11:R15" si="8">IF(X10="","",IF(MONTH(X10+1)&lt;&gt;MONTH(X10),"",X10+1))</f>
        <v>45907</v>
      </c>
      <c r="S11" s="252">
        <f t="shared" ref="S11:X11" si="3">IF(R11="","",IF(MONTH(R11+1)&lt;&gt;MONTH(R11),"",R11+1))</f>
        <v>45908</v>
      </c>
      <c r="T11" s="252">
        <f t="shared" si="3"/>
        <v>45909</v>
      </c>
      <c r="U11" s="252">
        <f t="shared" si="3"/>
        <v>45910</v>
      </c>
      <c r="V11" s="252">
        <f t="shared" si="3"/>
        <v>45911</v>
      </c>
      <c r="W11" s="252">
        <f t="shared" si="3"/>
        <v>45912</v>
      </c>
      <c r="X11" s="252">
        <f t="shared" si="3"/>
        <v>45913</v>
      </c>
      <c r="Y11" s="244"/>
      <c r="Z11" s="248"/>
      <c r="AA11" s="249" t="s">
        <v>217</v>
      </c>
      <c r="AB11" s="243" t="s">
        <v>218</v>
      </c>
      <c r="AC11" s="248"/>
      <c r="AD11" s="251"/>
      <c r="AE11" s="251"/>
    </row>
    <row r="12" ht="13.5" customHeight="1">
      <c r="A12" s="251"/>
      <c r="B12" s="252">
        <f t="shared" si="4"/>
        <v>45851</v>
      </c>
      <c r="C12" s="252">
        <f t="shared" ref="C12:H12" si="5">IF(B12="","",IF(MONTH(B12+1)&lt;&gt;MONTH(B12),"",B12+1))</f>
        <v>45852</v>
      </c>
      <c r="D12" s="252">
        <f t="shared" si="5"/>
        <v>45853</v>
      </c>
      <c r="E12" s="252">
        <f t="shared" si="5"/>
        <v>45854</v>
      </c>
      <c r="F12" s="252">
        <f t="shared" si="5"/>
        <v>45855</v>
      </c>
      <c r="G12" s="252">
        <f t="shared" si="5"/>
        <v>45856</v>
      </c>
      <c r="H12" s="252">
        <f t="shared" si="5"/>
        <v>45857</v>
      </c>
      <c r="I12" s="244"/>
      <c r="J12" s="252">
        <f t="shared" si="6"/>
        <v>45879</v>
      </c>
      <c r="K12" s="252">
        <f t="shared" ref="K12:P12" si="7">IF(J12="","",IF(MONTH(J12+1)&lt;&gt;MONTH(J12),"",J12+1))</f>
        <v>45880</v>
      </c>
      <c r="L12" s="254">
        <f t="shared" si="7"/>
        <v>45881</v>
      </c>
      <c r="M12" s="252">
        <f t="shared" si="7"/>
        <v>45882</v>
      </c>
      <c r="N12" s="252">
        <f t="shared" si="7"/>
        <v>45883</v>
      </c>
      <c r="O12" s="252">
        <f t="shared" si="7"/>
        <v>45884</v>
      </c>
      <c r="P12" s="252">
        <f t="shared" si="7"/>
        <v>45885</v>
      </c>
      <c r="Q12" s="244"/>
      <c r="R12" s="252">
        <f t="shared" si="8"/>
        <v>45914</v>
      </c>
      <c r="S12" s="252">
        <f t="shared" ref="S12:X12" si="9">IF(R12="","",IF(MONTH(R12+1)&lt;&gt;MONTH(R12),"",R12+1))</f>
        <v>45915</v>
      </c>
      <c r="T12" s="252">
        <f t="shared" si="9"/>
        <v>45916</v>
      </c>
      <c r="U12" s="252">
        <f t="shared" si="9"/>
        <v>45917</v>
      </c>
      <c r="V12" s="252">
        <f t="shared" si="9"/>
        <v>45918</v>
      </c>
      <c r="W12" s="253">
        <f t="shared" si="9"/>
        <v>45919</v>
      </c>
      <c r="X12" s="252">
        <f t="shared" si="9"/>
        <v>45920</v>
      </c>
      <c r="Y12" s="244"/>
      <c r="Z12" s="248"/>
      <c r="AA12" s="255">
        <v>45859.0</v>
      </c>
      <c r="AB12" s="256" t="s">
        <v>219</v>
      </c>
      <c r="AC12" s="248"/>
      <c r="AD12" s="257"/>
      <c r="AE12" s="251"/>
    </row>
    <row r="13" ht="13.5" customHeight="1">
      <c r="A13" s="258"/>
      <c r="B13" s="252">
        <f t="shared" si="4"/>
        <v>45858</v>
      </c>
      <c r="C13" s="252">
        <f t="shared" ref="C13:H13" si="10">IF(B13="","",IF(MONTH(B13+1)&lt;&gt;MONTH(B13),"",B13+1))</f>
        <v>45859</v>
      </c>
      <c r="D13" s="252">
        <f t="shared" si="10"/>
        <v>45860</v>
      </c>
      <c r="E13" s="252">
        <f t="shared" si="10"/>
        <v>45861</v>
      </c>
      <c r="F13" s="252">
        <f t="shared" si="10"/>
        <v>45862</v>
      </c>
      <c r="G13" s="252">
        <f t="shared" si="10"/>
        <v>45863</v>
      </c>
      <c r="H13" s="252">
        <f t="shared" si="10"/>
        <v>45864</v>
      </c>
      <c r="I13" s="259"/>
      <c r="J13" s="252">
        <f t="shared" si="6"/>
        <v>45886</v>
      </c>
      <c r="K13" s="252">
        <f t="shared" ref="K13:P13" si="11">IF(J13="","",IF(MONTH(J13+1)&lt;&gt;MONTH(J13),"",J13+1))</f>
        <v>45887</v>
      </c>
      <c r="L13" s="252">
        <f t="shared" si="11"/>
        <v>45888</v>
      </c>
      <c r="M13" s="252">
        <f t="shared" si="11"/>
        <v>45889</v>
      </c>
      <c r="N13" s="252">
        <f t="shared" si="11"/>
        <v>45890</v>
      </c>
      <c r="O13" s="252">
        <f t="shared" si="11"/>
        <v>45891</v>
      </c>
      <c r="P13" s="252">
        <f t="shared" si="11"/>
        <v>45892</v>
      </c>
      <c r="Q13" s="259"/>
      <c r="R13" s="252">
        <f t="shared" si="8"/>
        <v>45921</v>
      </c>
      <c r="S13" s="252">
        <f t="shared" ref="S13:X13" si="12">IF(R13="","",IF(MONTH(R13+1)&lt;&gt;MONTH(R13),"",R13+1))</f>
        <v>45922</v>
      </c>
      <c r="T13" s="252">
        <f t="shared" si="12"/>
        <v>45923</v>
      </c>
      <c r="U13" s="252">
        <f t="shared" si="12"/>
        <v>45924</v>
      </c>
      <c r="V13" s="252">
        <f t="shared" si="12"/>
        <v>45925</v>
      </c>
      <c r="W13" s="252">
        <f t="shared" si="12"/>
        <v>45926</v>
      </c>
      <c r="X13" s="252">
        <f t="shared" si="12"/>
        <v>45927</v>
      </c>
      <c r="Y13" s="259"/>
      <c r="Z13" s="248"/>
      <c r="AA13" s="249" t="s">
        <v>220</v>
      </c>
      <c r="AB13" s="243" t="s">
        <v>221</v>
      </c>
      <c r="AC13" s="248"/>
      <c r="AD13" s="258"/>
      <c r="AE13" s="258"/>
    </row>
    <row r="14" ht="13.5" customHeight="1">
      <c r="A14" s="258"/>
      <c r="B14" s="252">
        <f t="shared" si="4"/>
        <v>45865</v>
      </c>
      <c r="C14" s="252">
        <f t="shared" ref="C14:H14" si="13">IF(B14="","",IF(MONTH(B14+1)&lt;&gt;MONTH(B14),"",B14+1))</f>
        <v>45866</v>
      </c>
      <c r="D14" s="252">
        <f t="shared" si="13"/>
        <v>45867</v>
      </c>
      <c r="E14" s="252">
        <f t="shared" si="13"/>
        <v>45868</v>
      </c>
      <c r="F14" s="252">
        <f t="shared" si="13"/>
        <v>45869</v>
      </c>
      <c r="G14" s="252" t="str">
        <f t="shared" si="13"/>
        <v/>
      </c>
      <c r="H14" s="252" t="str">
        <f t="shared" si="13"/>
        <v/>
      </c>
      <c r="I14" s="259"/>
      <c r="J14" s="252">
        <f t="shared" si="6"/>
        <v>45893</v>
      </c>
      <c r="K14" s="252">
        <f t="shared" ref="K14:P14" si="14">IF(J14="","",IF(MONTH(J14+1)&lt;&gt;MONTH(J14),"",J14+1))</f>
        <v>45894</v>
      </c>
      <c r="L14" s="252">
        <f t="shared" si="14"/>
        <v>45895</v>
      </c>
      <c r="M14" s="252">
        <f t="shared" si="14"/>
        <v>45896</v>
      </c>
      <c r="N14" s="252">
        <f t="shared" si="14"/>
        <v>45897</v>
      </c>
      <c r="O14" s="252">
        <f t="shared" si="14"/>
        <v>45898</v>
      </c>
      <c r="P14" s="252">
        <f t="shared" si="14"/>
        <v>45899</v>
      </c>
      <c r="Q14" s="259"/>
      <c r="R14" s="252">
        <f t="shared" si="8"/>
        <v>45928</v>
      </c>
      <c r="S14" s="252">
        <f t="shared" ref="S14:X14" si="15">IF(R14="","",IF(MONTH(R14+1)&lt;&gt;MONTH(R14),"",R14+1))</f>
        <v>45929</v>
      </c>
      <c r="T14" s="252">
        <f t="shared" si="15"/>
        <v>45930</v>
      </c>
      <c r="U14" s="252" t="str">
        <f t="shared" si="15"/>
        <v/>
      </c>
      <c r="V14" s="252" t="str">
        <f t="shared" si="15"/>
        <v/>
      </c>
      <c r="W14" s="252" t="str">
        <f t="shared" si="15"/>
        <v/>
      </c>
      <c r="X14" s="252" t="str">
        <f t="shared" si="15"/>
        <v/>
      </c>
      <c r="Y14" s="259"/>
      <c r="Z14" s="248"/>
      <c r="AA14" s="249" t="s">
        <v>222</v>
      </c>
      <c r="AB14" s="243" t="s">
        <v>223</v>
      </c>
      <c r="AC14" s="248"/>
      <c r="AD14" s="258"/>
      <c r="AE14" s="258"/>
    </row>
    <row r="15" ht="13.5" customHeight="1">
      <c r="A15" s="258"/>
      <c r="B15" s="252" t="str">
        <f t="shared" si="4"/>
        <v/>
      </c>
      <c r="C15" s="252" t="str">
        <f t="shared" ref="C15:H15" si="16">IF(B15="","",IF(MONTH(B15+1)&lt;&gt;MONTH(B15),"",B15+1))</f>
        <v/>
      </c>
      <c r="D15" s="252" t="str">
        <f t="shared" si="16"/>
        <v/>
      </c>
      <c r="E15" s="252" t="str">
        <f t="shared" si="16"/>
        <v/>
      </c>
      <c r="F15" s="252" t="str">
        <f t="shared" si="16"/>
        <v/>
      </c>
      <c r="G15" s="252" t="str">
        <f t="shared" si="16"/>
        <v/>
      </c>
      <c r="H15" s="252" t="str">
        <f t="shared" si="16"/>
        <v/>
      </c>
      <c r="I15" s="259"/>
      <c r="J15" s="252">
        <f t="shared" si="6"/>
        <v>45900</v>
      </c>
      <c r="K15" s="252" t="str">
        <f t="shared" ref="K15:P15" si="17">IF(J15="","",IF(MONTH(J15+1)&lt;&gt;MONTH(J15),"",J15+1))</f>
        <v/>
      </c>
      <c r="L15" s="252" t="str">
        <f t="shared" si="17"/>
        <v/>
      </c>
      <c r="M15" s="252" t="str">
        <f t="shared" si="17"/>
        <v/>
      </c>
      <c r="N15" s="252" t="str">
        <f t="shared" si="17"/>
        <v/>
      </c>
      <c r="O15" s="252" t="str">
        <f t="shared" si="17"/>
        <v/>
      </c>
      <c r="P15" s="252" t="str">
        <f t="shared" si="17"/>
        <v/>
      </c>
      <c r="Q15" s="259"/>
      <c r="R15" s="252" t="str">
        <f t="shared" si="8"/>
        <v/>
      </c>
      <c r="S15" s="252" t="str">
        <f t="shared" ref="S15:X15" si="18">IF(R15="","",IF(MONTH(R15+1)&lt;&gt;MONTH(R15),"",R15+1))</f>
        <v/>
      </c>
      <c r="T15" s="252" t="str">
        <f t="shared" si="18"/>
        <v/>
      </c>
      <c r="U15" s="252" t="str">
        <f t="shared" si="18"/>
        <v/>
      </c>
      <c r="V15" s="252" t="str">
        <f t="shared" si="18"/>
        <v/>
      </c>
      <c r="W15" s="252" t="str">
        <f t="shared" si="18"/>
        <v/>
      </c>
      <c r="X15" s="252" t="str">
        <f t="shared" si="18"/>
        <v/>
      </c>
      <c r="Y15" s="259"/>
      <c r="Z15" s="248"/>
      <c r="AA15" s="249" t="s">
        <v>224</v>
      </c>
      <c r="AB15" s="243" t="s">
        <v>225</v>
      </c>
      <c r="AC15" s="248"/>
      <c r="AD15" s="258"/>
      <c r="AE15" s="258"/>
    </row>
    <row r="16" ht="13.5" customHeight="1">
      <c r="A16" s="258"/>
      <c r="B16" s="259"/>
      <c r="C16" s="259"/>
      <c r="D16" s="259"/>
      <c r="E16" s="259"/>
      <c r="F16" s="259"/>
      <c r="G16" s="259"/>
      <c r="H16" s="259"/>
      <c r="I16" s="259"/>
      <c r="J16" s="259"/>
      <c r="K16" s="259"/>
      <c r="L16" s="259"/>
      <c r="M16" s="259"/>
      <c r="N16" s="259"/>
      <c r="O16" s="259"/>
      <c r="P16" s="259"/>
      <c r="Q16" s="259"/>
      <c r="R16" s="259"/>
      <c r="S16" s="259"/>
      <c r="T16" s="259"/>
      <c r="U16" s="259"/>
      <c r="V16" s="259"/>
      <c r="W16" s="259"/>
      <c r="X16" s="259"/>
      <c r="Y16" s="259"/>
      <c r="Z16" s="248"/>
      <c r="AA16" s="249" t="s">
        <v>226</v>
      </c>
      <c r="AB16" s="243" t="s">
        <v>227</v>
      </c>
      <c r="AC16" s="248"/>
      <c r="AD16" s="258"/>
      <c r="AE16" s="258"/>
    </row>
    <row r="17" ht="16.5" customHeight="1">
      <c r="A17" s="260"/>
      <c r="B17" s="238">
        <f>DATE(YEAR(R8+42),MONTH(R8+42),1)</f>
        <v>45931</v>
      </c>
      <c r="C17" s="239"/>
      <c r="D17" s="239"/>
      <c r="E17" s="239"/>
      <c r="F17" s="239"/>
      <c r="G17" s="239"/>
      <c r="H17" s="240"/>
      <c r="I17" s="261"/>
      <c r="J17" s="238">
        <f>DATE(YEAR(B17+42),MONTH(B17+42),1)</f>
        <v>45962</v>
      </c>
      <c r="K17" s="239"/>
      <c r="L17" s="239"/>
      <c r="M17" s="239"/>
      <c r="N17" s="239"/>
      <c r="O17" s="239"/>
      <c r="P17" s="240"/>
      <c r="Q17" s="261"/>
      <c r="R17" s="238">
        <f>DATE(YEAR(J17+42),MONTH(J17+42),1)</f>
        <v>45992</v>
      </c>
      <c r="S17" s="239"/>
      <c r="T17" s="239"/>
      <c r="U17" s="239"/>
      <c r="V17" s="239"/>
      <c r="W17" s="239"/>
      <c r="X17" s="240"/>
      <c r="Y17" s="262"/>
      <c r="Z17" s="248"/>
      <c r="AA17" s="249" t="s">
        <v>228</v>
      </c>
      <c r="AB17" s="256" t="s">
        <v>229</v>
      </c>
      <c r="AC17" s="248"/>
      <c r="AD17" s="260"/>
      <c r="AE17" s="260"/>
    </row>
    <row r="18" ht="15.0" customHeight="1">
      <c r="A18" s="262"/>
      <c r="B18" s="245" t="str">
        <f>CHOOSE(1+MOD($R$3+1-2,7),"Su","M","Tu","W","Th","F","Sa")</f>
        <v>Su</v>
      </c>
      <c r="C18" s="246" t="str">
        <f>CHOOSE(1+MOD($R$3+2-2,7),"Su","M","Tu","W","Th","F","Sa")</f>
        <v>M</v>
      </c>
      <c r="D18" s="246" t="str">
        <f>CHOOSE(1+MOD($R$3+3-2,7),"Su","M","Tu","W","Th","F","Sa")</f>
        <v>Tu</v>
      </c>
      <c r="E18" s="246" t="str">
        <f>CHOOSE(1+MOD($R$3+4-2,7),"Su","M","Tu","W","Th","F","Sa")</f>
        <v>W</v>
      </c>
      <c r="F18" s="246" t="str">
        <f>CHOOSE(1+MOD($R$3+5-2,7),"Su","M","Tu","W","Th","F","Sa")</f>
        <v>Th</v>
      </c>
      <c r="G18" s="246" t="str">
        <f>CHOOSE(1+MOD($R$3+6-2,7),"Su","M","Tu","W","Th","F","Sa")</f>
        <v>F</v>
      </c>
      <c r="H18" s="247" t="str">
        <f>CHOOSE(1+MOD($R$3+7-2,7),"Su","M","Tu","W","Th","F","Sa")</f>
        <v>Sa</v>
      </c>
      <c r="I18" s="262"/>
      <c r="J18" s="245" t="str">
        <f>CHOOSE(1+MOD($R$3+1-2,7),"Su","M","Tu","W","Th","F","Sa")</f>
        <v>Su</v>
      </c>
      <c r="K18" s="246" t="str">
        <f>CHOOSE(1+MOD($R$3+2-2,7),"Su","M","Tu","W","Th","F","Sa")</f>
        <v>M</v>
      </c>
      <c r="L18" s="246" t="str">
        <f>CHOOSE(1+MOD($R$3+3-2,7),"Su","M","Tu","W","Th","F","Sa")</f>
        <v>Tu</v>
      </c>
      <c r="M18" s="246" t="str">
        <f>CHOOSE(1+MOD($R$3+4-2,7),"Su","M","Tu","W","Th","F","Sa")</f>
        <v>W</v>
      </c>
      <c r="N18" s="246" t="str">
        <f>CHOOSE(1+MOD($R$3+5-2,7),"Su","M","Tu","W","Th","F","Sa")</f>
        <v>Th</v>
      </c>
      <c r="O18" s="246" t="str">
        <f>CHOOSE(1+MOD($R$3+6-2,7),"Su","M","Tu","W","Th","F","Sa")</f>
        <v>F</v>
      </c>
      <c r="P18" s="247" t="str">
        <f>CHOOSE(1+MOD($R$3+7-2,7),"Su","M","Tu","W","Th","F","Sa")</f>
        <v>Sa</v>
      </c>
      <c r="Q18" s="262"/>
      <c r="R18" s="245" t="str">
        <f>CHOOSE(1+MOD($R$3+1-2,7),"Su","M","Tu","W","Th","F","Sa")</f>
        <v>Su</v>
      </c>
      <c r="S18" s="246" t="str">
        <f>CHOOSE(1+MOD($R$3+2-2,7),"Su","M","Tu","W","Th","F","Sa")</f>
        <v>M</v>
      </c>
      <c r="T18" s="246" t="str">
        <f>CHOOSE(1+MOD($R$3+3-2,7),"Su","M","Tu","W","Th","F","Sa")</f>
        <v>Tu</v>
      </c>
      <c r="U18" s="246" t="str">
        <f>CHOOSE(1+MOD($R$3+4-2,7),"Su","M","Tu","W","Th","F","Sa")</f>
        <v>W</v>
      </c>
      <c r="V18" s="246" t="str">
        <f>CHOOSE(1+MOD($R$3+5-2,7),"Su","M","Tu","W","Th","F","Sa")</f>
        <v>Th</v>
      </c>
      <c r="W18" s="246" t="str">
        <f>CHOOSE(1+MOD($R$3+6-2,7),"Su","M","Tu","W","Th","F","Sa")</f>
        <v>F</v>
      </c>
      <c r="X18" s="247" t="str">
        <f>CHOOSE(1+MOD($R$3+7-2,7),"Su","M","Tu","W","Th","F","Sa")</f>
        <v>Sa</v>
      </c>
      <c r="Y18" s="262"/>
      <c r="Z18" s="248"/>
      <c r="AA18" s="249" t="s">
        <v>230</v>
      </c>
      <c r="AB18" s="243" t="s">
        <v>231</v>
      </c>
      <c r="AC18" s="248"/>
      <c r="AD18" s="262"/>
      <c r="AE18" s="262"/>
    </row>
    <row r="19" ht="13.5" customHeight="1">
      <c r="A19" s="260"/>
      <c r="B19" s="252" t="str">
        <f>IF(WEEKDAY(B17,1)=$R$3,B17,"")</f>
        <v/>
      </c>
      <c r="C19" s="252" t="str">
        <f>IF(B19="",IF(WEEKDAY(B17,1)=MOD($R$3,7)+1,B17,""),B19+1)</f>
        <v/>
      </c>
      <c r="D19" s="252" t="str">
        <f>IF(C19="",IF(WEEKDAY(B17,1)=MOD($R$3+1,7)+1,B17,""),C19+1)</f>
        <v/>
      </c>
      <c r="E19" s="252">
        <f>IF(D19="",IF(WEEKDAY(B17,1)=MOD($R$3+2,7)+1,B17,""),D19+1)</f>
        <v>45931</v>
      </c>
      <c r="F19" s="252">
        <f>IF(E19="",IF(WEEKDAY(B17,1)=MOD($R$3+3,7)+1,B17,""),E19+1)</f>
        <v>45932</v>
      </c>
      <c r="G19" s="252">
        <f>IF(F19="",IF(WEEKDAY(B17,1)=MOD($R$3+4,7)+1,B17,""),F19+1)</f>
        <v>45933</v>
      </c>
      <c r="H19" s="252">
        <f>IF(G19="",IF(WEEKDAY(B17,1)=MOD($R$3+5,7)+1,B17,""),G19+1)</f>
        <v>45934</v>
      </c>
      <c r="I19" s="262"/>
      <c r="J19" s="252" t="str">
        <f>IF(WEEKDAY(J17,1)=$R$3,J17,"")</f>
        <v/>
      </c>
      <c r="K19" s="252" t="str">
        <f>IF(J19="",IF(WEEKDAY(J17,1)=MOD($R$3,7)+1,J17,""),J19+1)</f>
        <v/>
      </c>
      <c r="L19" s="252" t="str">
        <f>IF(K19="",IF(WEEKDAY(J17,1)=MOD($R$3+1,7)+1,J17,""),K19+1)</f>
        <v/>
      </c>
      <c r="M19" s="252" t="str">
        <f>IF(L19="",IF(WEEKDAY(J17,1)=MOD($R$3+2,7)+1,J17,""),L19+1)</f>
        <v/>
      </c>
      <c r="N19" s="252" t="str">
        <f>IF(M19="",IF(WEEKDAY(J17,1)=MOD($R$3+3,7)+1,J17,""),M19+1)</f>
        <v/>
      </c>
      <c r="O19" s="252" t="str">
        <f>IF(N19="",IF(WEEKDAY(J17,1)=MOD($R$3+4,7)+1,J17,""),N19+1)</f>
        <v/>
      </c>
      <c r="P19" s="252">
        <f>IF(O19="",IF(WEEKDAY(J17,1)=MOD($R$3+5,7)+1,J17,""),O19+1)</f>
        <v>45962</v>
      </c>
      <c r="Q19" s="262"/>
      <c r="R19" s="252" t="str">
        <f>IF(WEEKDAY(R17,1)=$R$3,R17,"")</f>
        <v/>
      </c>
      <c r="S19" s="253">
        <f>IF(R19="",IF(WEEKDAY(R17,1)=MOD($R$3,7)+1,R17,""),R19+1)</f>
        <v>45992</v>
      </c>
      <c r="T19" s="252">
        <f>IF(S19="",IF(WEEKDAY(R17,1)=MOD($R$3+1,7)+1,R17,""),S19+1)</f>
        <v>45993</v>
      </c>
      <c r="U19" s="252">
        <f>IF(T19="",IF(WEEKDAY(R17,1)=MOD($R$3+2,7)+1,R17,""),T19+1)</f>
        <v>45994</v>
      </c>
      <c r="V19" s="252">
        <f>IF(U19="",IF(WEEKDAY(R17,1)=MOD($R$3+3,7)+1,R17,""),U19+1)</f>
        <v>45995</v>
      </c>
      <c r="W19" s="252">
        <f>IF(V19="",IF(WEEKDAY(R17,1)=MOD($R$3+4,7)+1,R17,""),V19+1)</f>
        <v>45996</v>
      </c>
      <c r="X19" s="252">
        <f>IF(W19="",IF(WEEKDAY(R17,1)=MOD($R$3+5,7)+1,R17,""),W19+1)</f>
        <v>45997</v>
      </c>
      <c r="Y19" s="262"/>
      <c r="Z19" s="248"/>
      <c r="AA19" s="263" t="s">
        <v>232</v>
      </c>
      <c r="AB19" s="243" t="s">
        <v>233</v>
      </c>
      <c r="AC19" s="248"/>
      <c r="AD19" s="260"/>
      <c r="AE19" s="260"/>
    </row>
    <row r="20" ht="13.5" customHeight="1">
      <c r="A20" s="260"/>
      <c r="B20" s="252">
        <f t="shared" ref="B20:B24" si="22">IF(H19="","",IF(MONTH(H19+1)&lt;&gt;MONTH(H19),"",H19+1))</f>
        <v>45935</v>
      </c>
      <c r="C20" s="252">
        <f t="shared" ref="C20:H20" si="19">IF(B20="","",IF(MONTH(B20+1)&lt;&gt;MONTH(B20),"",B20+1))</f>
        <v>45936</v>
      </c>
      <c r="D20" s="252">
        <f t="shared" si="19"/>
        <v>45937</v>
      </c>
      <c r="E20" s="252">
        <f t="shared" si="19"/>
        <v>45938</v>
      </c>
      <c r="F20" s="253">
        <f t="shared" si="19"/>
        <v>45939</v>
      </c>
      <c r="G20" s="253">
        <f t="shared" si="19"/>
        <v>45940</v>
      </c>
      <c r="H20" s="252">
        <f t="shared" si="19"/>
        <v>45941</v>
      </c>
      <c r="I20" s="262"/>
      <c r="J20" s="252">
        <f t="shared" ref="J20:J24" si="24">IF(P19="","",IF(MONTH(P19+1)&lt;&gt;MONTH(P19),"",P19+1))</f>
        <v>45963</v>
      </c>
      <c r="K20" s="252">
        <f t="shared" ref="K20:P20" si="20">IF(J20="","",IF(MONTH(J20+1)&lt;&gt;MONTH(J20),"",J20+1))</f>
        <v>45964</v>
      </c>
      <c r="L20" s="252">
        <f t="shared" si="20"/>
        <v>45965</v>
      </c>
      <c r="M20" s="252">
        <f t="shared" si="20"/>
        <v>45966</v>
      </c>
      <c r="N20" s="252">
        <f t="shared" si="20"/>
        <v>45967</v>
      </c>
      <c r="O20" s="252">
        <f t="shared" si="20"/>
        <v>45968</v>
      </c>
      <c r="P20" s="252">
        <f t="shared" si="20"/>
        <v>45969</v>
      </c>
      <c r="Q20" s="262"/>
      <c r="R20" s="252">
        <f t="shared" ref="R20:R24" si="26">IF(X19="","",IF(MONTH(X19+1)&lt;&gt;MONTH(X19),"",X19+1))</f>
        <v>45998</v>
      </c>
      <c r="S20" s="252">
        <f t="shared" ref="S20:X20" si="21">IF(R20="","",IF(MONTH(R20+1)&lt;&gt;MONTH(R20),"",R20+1))</f>
        <v>45999</v>
      </c>
      <c r="T20" s="252">
        <f t="shared" si="21"/>
        <v>46000</v>
      </c>
      <c r="U20" s="252">
        <f t="shared" si="21"/>
        <v>46001</v>
      </c>
      <c r="V20" s="252">
        <f t="shared" si="21"/>
        <v>46002</v>
      </c>
      <c r="W20" s="252">
        <f t="shared" si="21"/>
        <v>46003</v>
      </c>
      <c r="X20" s="252">
        <f t="shared" si="21"/>
        <v>46004</v>
      </c>
      <c r="Y20" s="262"/>
      <c r="Z20" s="248"/>
      <c r="AA20" s="249" t="s">
        <v>234</v>
      </c>
      <c r="AB20" s="243" t="s">
        <v>235</v>
      </c>
      <c r="AC20" s="248"/>
      <c r="AD20" s="260"/>
      <c r="AE20" s="260"/>
    </row>
    <row r="21" ht="13.5" customHeight="1">
      <c r="A21" s="264"/>
      <c r="B21" s="252">
        <f t="shared" si="22"/>
        <v>45942</v>
      </c>
      <c r="C21" s="253">
        <f t="shared" ref="C21:H21" si="23">IF(B21="","",IF(MONTH(B21+1)&lt;&gt;MONTH(B21),"",B21+1))</f>
        <v>45943</v>
      </c>
      <c r="D21" s="252">
        <f t="shared" si="23"/>
        <v>45944</v>
      </c>
      <c r="E21" s="252">
        <f t="shared" si="23"/>
        <v>45945</v>
      </c>
      <c r="F21" s="252">
        <f t="shared" si="23"/>
        <v>45946</v>
      </c>
      <c r="G21" s="252">
        <f t="shared" si="23"/>
        <v>45947</v>
      </c>
      <c r="H21" s="252">
        <f t="shared" si="23"/>
        <v>45948</v>
      </c>
      <c r="I21" s="265"/>
      <c r="J21" s="252">
        <f t="shared" si="24"/>
        <v>45970</v>
      </c>
      <c r="K21" s="252">
        <f t="shared" ref="K21:P21" si="25">IF(J21="","",IF(MONTH(J21+1)&lt;&gt;MONTH(J21),"",J21+1))</f>
        <v>45971</v>
      </c>
      <c r="L21" s="252">
        <f t="shared" si="25"/>
        <v>45972</v>
      </c>
      <c r="M21" s="252">
        <f t="shared" si="25"/>
        <v>45973</v>
      </c>
      <c r="N21" s="252">
        <f t="shared" si="25"/>
        <v>45974</v>
      </c>
      <c r="O21" s="252">
        <f t="shared" si="25"/>
        <v>45975</v>
      </c>
      <c r="P21" s="252">
        <f t="shared" si="25"/>
        <v>45976</v>
      </c>
      <c r="Q21" s="265"/>
      <c r="R21" s="252">
        <f t="shared" si="26"/>
        <v>46005</v>
      </c>
      <c r="S21" s="252">
        <f t="shared" ref="S21:X21" si="27">IF(R21="","",IF(MONTH(R21+1)&lt;&gt;MONTH(R21),"",R21+1))</f>
        <v>46006</v>
      </c>
      <c r="T21" s="252">
        <f t="shared" si="27"/>
        <v>46007</v>
      </c>
      <c r="U21" s="252">
        <f t="shared" si="27"/>
        <v>46008</v>
      </c>
      <c r="V21" s="252">
        <f t="shared" si="27"/>
        <v>46009</v>
      </c>
      <c r="W21" s="252">
        <f t="shared" si="27"/>
        <v>46010</v>
      </c>
      <c r="X21" s="252">
        <f t="shared" si="27"/>
        <v>46011</v>
      </c>
      <c r="Y21" s="265"/>
      <c r="Z21" s="248"/>
      <c r="AA21" s="249" t="s">
        <v>236</v>
      </c>
      <c r="AB21" s="243" t="s">
        <v>237</v>
      </c>
      <c r="AC21" s="248"/>
      <c r="AD21" s="264"/>
      <c r="AE21" s="264"/>
    </row>
    <row r="22" ht="13.5" customHeight="1">
      <c r="A22" s="264"/>
      <c r="B22" s="252">
        <f t="shared" si="22"/>
        <v>45949</v>
      </c>
      <c r="C22" s="252">
        <f t="shared" ref="C22:H22" si="28">IF(B22="","",IF(MONTH(B22+1)&lt;&gt;MONTH(B22),"",B22+1))</f>
        <v>45950</v>
      </c>
      <c r="D22" s="252">
        <f t="shared" si="28"/>
        <v>45951</v>
      </c>
      <c r="E22" s="252">
        <f t="shared" si="28"/>
        <v>45952</v>
      </c>
      <c r="F22" s="252">
        <f t="shared" si="28"/>
        <v>45953</v>
      </c>
      <c r="G22" s="252">
        <f t="shared" si="28"/>
        <v>45954</v>
      </c>
      <c r="H22" s="252">
        <f t="shared" si="28"/>
        <v>45955</v>
      </c>
      <c r="I22" s="265"/>
      <c r="J22" s="252">
        <f t="shared" si="24"/>
        <v>45977</v>
      </c>
      <c r="K22" s="252">
        <f t="shared" ref="K22:P22" si="29">IF(J22="","",IF(MONTH(J22+1)&lt;&gt;MONTH(J22),"",J22+1))</f>
        <v>45978</v>
      </c>
      <c r="L22" s="252">
        <f t="shared" si="29"/>
        <v>45979</v>
      </c>
      <c r="M22" s="252">
        <f t="shared" si="29"/>
        <v>45980</v>
      </c>
      <c r="N22" s="252">
        <f t="shared" si="29"/>
        <v>45981</v>
      </c>
      <c r="O22" s="252">
        <f t="shared" si="29"/>
        <v>45982</v>
      </c>
      <c r="P22" s="252">
        <f t="shared" si="29"/>
        <v>45983</v>
      </c>
      <c r="Q22" s="265"/>
      <c r="R22" s="252">
        <f t="shared" si="26"/>
        <v>46012</v>
      </c>
      <c r="S22" s="253">
        <f t="shared" ref="S22:X22" si="30">IF(R22="","",IF(MONTH(R22+1)&lt;&gt;MONTH(R22),"",R22+1))</f>
        <v>46013</v>
      </c>
      <c r="T22" s="253">
        <f t="shared" si="30"/>
        <v>46014</v>
      </c>
      <c r="U22" s="253">
        <f t="shared" si="30"/>
        <v>46015</v>
      </c>
      <c r="V22" s="253">
        <f t="shared" si="30"/>
        <v>46016</v>
      </c>
      <c r="W22" s="253">
        <f t="shared" si="30"/>
        <v>46017</v>
      </c>
      <c r="X22" s="252">
        <f t="shared" si="30"/>
        <v>46018</v>
      </c>
      <c r="Y22" s="265"/>
      <c r="Z22" s="248"/>
      <c r="AA22" s="249" t="s">
        <v>238</v>
      </c>
      <c r="AB22" s="243" t="s">
        <v>239</v>
      </c>
      <c r="AC22" s="248"/>
      <c r="AD22" s="264"/>
      <c r="AE22" s="264"/>
    </row>
    <row r="23" ht="13.5" customHeight="1">
      <c r="A23" s="264"/>
      <c r="B23" s="252">
        <f t="shared" si="22"/>
        <v>45956</v>
      </c>
      <c r="C23" s="252">
        <f t="shared" ref="C23:H23" si="31">IF(B23="","",IF(MONTH(B23+1)&lt;&gt;MONTH(B23),"",B23+1))</f>
        <v>45957</v>
      </c>
      <c r="D23" s="252">
        <f t="shared" si="31"/>
        <v>45958</v>
      </c>
      <c r="E23" s="252">
        <f t="shared" si="31"/>
        <v>45959</v>
      </c>
      <c r="F23" s="252">
        <f t="shared" si="31"/>
        <v>45960</v>
      </c>
      <c r="G23" s="252">
        <f t="shared" si="31"/>
        <v>45961</v>
      </c>
      <c r="H23" s="252" t="str">
        <f t="shared" si="31"/>
        <v/>
      </c>
      <c r="I23" s="265"/>
      <c r="J23" s="252">
        <f t="shared" si="24"/>
        <v>45984</v>
      </c>
      <c r="K23" s="253">
        <f t="shared" ref="K23:P23" si="32">IF(J23="","",IF(MONTH(J23+1)&lt;&gt;MONTH(J23),"",J23+1))</f>
        <v>45985</v>
      </c>
      <c r="L23" s="253">
        <f t="shared" si="32"/>
        <v>45986</v>
      </c>
      <c r="M23" s="253">
        <f t="shared" si="32"/>
        <v>45987</v>
      </c>
      <c r="N23" s="253">
        <f t="shared" si="32"/>
        <v>45988</v>
      </c>
      <c r="O23" s="253">
        <f t="shared" si="32"/>
        <v>45989</v>
      </c>
      <c r="P23" s="252">
        <f t="shared" si="32"/>
        <v>45990</v>
      </c>
      <c r="Q23" s="265"/>
      <c r="R23" s="252">
        <f t="shared" si="26"/>
        <v>46019</v>
      </c>
      <c r="S23" s="253">
        <f t="shared" ref="S23:X23" si="33">IF(R23="","",IF(MONTH(R23+1)&lt;&gt;MONTH(R23),"",R23+1))</f>
        <v>46020</v>
      </c>
      <c r="T23" s="253">
        <f t="shared" si="33"/>
        <v>46021</v>
      </c>
      <c r="U23" s="253">
        <f t="shared" si="33"/>
        <v>46022</v>
      </c>
      <c r="V23" s="252" t="str">
        <f t="shared" si="33"/>
        <v/>
      </c>
      <c r="W23" s="252" t="str">
        <f t="shared" si="33"/>
        <v/>
      </c>
      <c r="X23" s="252" t="str">
        <f t="shared" si="33"/>
        <v/>
      </c>
      <c r="Y23" s="265"/>
      <c r="Z23" s="248"/>
      <c r="AA23" s="266" t="s">
        <v>240</v>
      </c>
      <c r="AB23" s="243" t="s">
        <v>241</v>
      </c>
      <c r="AC23" s="248"/>
      <c r="AD23" s="264"/>
      <c r="AE23" s="264"/>
    </row>
    <row r="24" ht="13.5" customHeight="1">
      <c r="A24" s="267"/>
      <c r="B24" s="252" t="str">
        <f t="shared" si="22"/>
        <v/>
      </c>
      <c r="C24" s="252" t="str">
        <f t="shared" ref="C24:H24" si="34">IF(B24="","",IF(MONTH(B24+1)&lt;&gt;MONTH(B24),"",B24+1))</f>
        <v/>
      </c>
      <c r="D24" s="252" t="str">
        <f t="shared" si="34"/>
        <v/>
      </c>
      <c r="E24" s="252" t="str">
        <f t="shared" si="34"/>
        <v/>
      </c>
      <c r="F24" s="252" t="str">
        <f t="shared" si="34"/>
        <v/>
      </c>
      <c r="G24" s="252" t="str">
        <f t="shared" si="34"/>
        <v/>
      </c>
      <c r="H24" s="252" t="str">
        <f t="shared" si="34"/>
        <v/>
      </c>
      <c r="I24" s="268"/>
      <c r="J24" s="252">
        <f t="shared" si="24"/>
        <v>45991</v>
      </c>
      <c r="K24" s="252" t="str">
        <f t="shared" ref="K24:P24" si="35">IF(J24="","",IF(MONTH(J24+1)&lt;&gt;MONTH(J24),"",J24+1))</f>
        <v/>
      </c>
      <c r="L24" s="252" t="str">
        <f t="shared" si="35"/>
        <v/>
      </c>
      <c r="M24" s="252" t="str">
        <f t="shared" si="35"/>
        <v/>
      </c>
      <c r="N24" s="252" t="str">
        <f t="shared" si="35"/>
        <v/>
      </c>
      <c r="O24" s="252" t="str">
        <f t="shared" si="35"/>
        <v/>
      </c>
      <c r="P24" s="252" t="str">
        <f t="shared" si="35"/>
        <v/>
      </c>
      <c r="Q24" s="268"/>
      <c r="R24" s="252" t="str">
        <f t="shared" si="26"/>
        <v/>
      </c>
      <c r="S24" s="252" t="str">
        <f t="shared" ref="S24:X24" si="36">IF(R24="","",IF(MONTH(R24+1)&lt;&gt;MONTH(R24),"",R24+1))</f>
        <v/>
      </c>
      <c r="T24" s="252" t="str">
        <f t="shared" si="36"/>
        <v/>
      </c>
      <c r="U24" s="252" t="str">
        <f t="shared" si="36"/>
        <v/>
      </c>
      <c r="V24" s="252" t="str">
        <f t="shared" si="36"/>
        <v/>
      </c>
      <c r="W24" s="252" t="str">
        <f t="shared" si="36"/>
        <v/>
      </c>
      <c r="X24" s="252" t="str">
        <f t="shared" si="36"/>
        <v/>
      </c>
      <c r="Y24" s="268"/>
      <c r="Z24" s="248"/>
      <c r="AA24" s="249" t="s">
        <v>242</v>
      </c>
      <c r="AB24" s="243" t="s">
        <v>115</v>
      </c>
      <c r="AC24" s="248"/>
      <c r="AD24" s="267"/>
      <c r="AE24" s="267"/>
    </row>
    <row r="25" ht="13.5" customHeight="1">
      <c r="A25" s="267"/>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48"/>
      <c r="AA25" s="249" t="s">
        <v>243</v>
      </c>
      <c r="AB25" s="243" t="s">
        <v>244</v>
      </c>
      <c r="AC25" s="248"/>
      <c r="AD25" s="267"/>
      <c r="AE25" s="267"/>
    </row>
    <row r="26" ht="16.5" customHeight="1">
      <c r="A26" s="267"/>
      <c r="B26" s="238">
        <f>DATE(YEAR(R17+42),MONTH(R17+42),1)</f>
        <v>46023</v>
      </c>
      <c r="C26" s="239"/>
      <c r="D26" s="239"/>
      <c r="E26" s="239"/>
      <c r="F26" s="239"/>
      <c r="G26" s="239"/>
      <c r="H26" s="240"/>
      <c r="I26" s="269"/>
      <c r="J26" s="238">
        <f>DATE(YEAR(B26+42),MONTH(B26+42),1)</f>
        <v>46054</v>
      </c>
      <c r="K26" s="239"/>
      <c r="L26" s="239"/>
      <c r="M26" s="239"/>
      <c r="N26" s="239"/>
      <c r="O26" s="239"/>
      <c r="P26" s="240"/>
      <c r="Q26" s="269"/>
      <c r="R26" s="238">
        <f>DATE(YEAR(J26+42),MONTH(J26+42),1)</f>
        <v>46082</v>
      </c>
      <c r="S26" s="239"/>
      <c r="T26" s="239"/>
      <c r="U26" s="239"/>
      <c r="V26" s="239"/>
      <c r="W26" s="239"/>
      <c r="X26" s="240"/>
      <c r="Y26" s="268"/>
      <c r="Z26" s="248"/>
      <c r="AA26" s="270" t="s">
        <v>245</v>
      </c>
      <c r="AB26" s="243" t="s">
        <v>246</v>
      </c>
      <c r="AC26" s="248"/>
      <c r="AD26" s="267"/>
      <c r="AE26" s="267"/>
    </row>
    <row r="27" ht="15.0" customHeight="1">
      <c r="A27" s="271"/>
      <c r="B27" s="245" t="str">
        <f>CHOOSE(1+MOD($R$3+1-2,7),"Su","M","Tu","W","Th","F","Sa")</f>
        <v>Su</v>
      </c>
      <c r="C27" s="246" t="str">
        <f>CHOOSE(1+MOD($R$3+2-2,7),"Su","M","Tu","W","Th","F","Sa")</f>
        <v>M</v>
      </c>
      <c r="D27" s="246" t="str">
        <f>CHOOSE(1+MOD($R$3+3-2,7),"Su","M","Tu","W","Th","F","Sa")</f>
        <v>Tu</v>
      </c>
      <c r="E27" s="246" t="str">
        <f>CHOOSE(1+MOD($R$3+4-2,7),"Su","M","Tu","W","Th","F","Sa")</f>
        <v>W</v>
      </c>
      <c r="F27" s="246" t="str">
        <f>CHOOSE(1+MOD($R$3+5-2,7),"Su","M","Tu","W","Th","F","Sa")</f>
        <v>Th</v>
      </c>
      <c r="G27" s="246" t="str">
        <f>CHOOSE(1+MOD($R$3+6-2,7),"Su","M","Tu","W","Th","F","Sa")</f>
        <v>F</v>
      </c>
      <c r="H27" s="247" t="str">
        <f>CHOOSE(1+MOD($R$3+7-2,7),"Su","M","Tu","W","Th","F","Sa")</f>
        <v>Sa</v>
      </c>
      <c r="I27" s="271"/>
      <c r="J27" s="245" t="str">
        <f>CHOOSE(1+MOD($R$3+1-2,7),"Su","M","Tu","W","Th","F","Sa")</f>
        <v>Su</v>
      </c>
      <c r="K27" s="246" t="str">
        <f>CHOOSE(1+MOD($R$3+2-2,7),"Su","M","Tu","W","Th","F","Sa")</f>
        <v>M</v>
      </c>
      <c r="L27" s="246" t="str">
        <f>CHOOSE(1+MOD($R$3+3-2,7),"Su","M","Tu","W","Th","F","Sa")</f>
        <v>Tu</v>
      </c>
      <c r="M27" s="246" t="str">
        <f>CHOOSE(1+MOD($R$3+4-2,7),"Su","M","Tu","W","Th","F","Sa")</f>
        <v>W</v>
      </c>
      <c r="N27" s="246" t="str">
        <f>CHOOSE(1+MOD($R$3+5-2,7),"Su","M","Tu","W","Th","F","Sa")</f>
        <v>Th</v>
      </c>
      <c r="O27" s="246" t="str">
        <f>CHOOSE(1+MOD($R$3+6-2,7),"Su","M","Tu","W","Th","F","Sa")</f>
        <v>F</v>
      </c>
      <c r="P27" s="247" t="str">
        <f>CHOOSE(1+MOD($R$3+7-2,7),"Su","M","Tu","W","Th","F","Sa")</f>
        <v>Sa</v>
      </c>
      <c r="Q27" s="271"/>
      <c r="R27" s="245" t="str">
        <f>CHOOSE(1+MOD($R$3+1-2,7),"Su","M","Tu","W","Th","F","Sa")</f>
        <v>Su</v>
      </c>
      <c r="S27" s="246" t="str">
        <f>CHOOSE(1+MOD($R$3+2-2,7),"Su","M","Tu","W","Th","F","Sa")</f>
        <v>M</v>
      </c>
      <c r="T27" s="246" t="str">
        <f>CHOOSE(1+MOD($R$3+3-2,7),"Su","M","Tu","W","Th","F","Sa")</f>
        <v>Tu</v>
      </c>
      <c r="U27" s="246" t="str">
        <f>CHOOSE(1+MOD($R$3+4-2,7),"Su","M","Tu","W","Th","F","Sa")</f>
        <v>W</v>
      </c>
      <c r="V27" s="246" t="str">
        <f>CHOOSE(1+MOD($R$3+5-2,7),"Su","M","Tu","W","Th","F","Sa")</f>
        <v>Th</v>
      </c>
      <c r="W27" s="246" t="str">
        <f>CHOOSE(1+MOD($R$3+6-2,7),"Su","M","Tu","W","Th","F","Sa")</f>
        <v>F</v>
      </c>
      <c r="X27" s="247" t="str">
        <f>CHOOSE(1+MOD($R$3+7-2,7),"Su","M","Tu","W","Th","F","Sa")</f>
        <v>Sa</v>
      </c>
      <c r="Y27" s="271"/>
      <c r="Z27" s="248"/>
      <c r="AA27" s="255">
        <v>45688.0</v>
      </c>
      <c r="AB27" s="272" t="s">
        <v>247</v>
      </c>
      <c r="AC27" s="248"/>
      <c r="AD27" s="271"/>
      <c r="AE27" s="271"/>
    </row>
    <row r="28" ht="13.5" customHeight="1">
      <c r="A28" s="273"/>
      <c r="B28" s="252" t="str">
        <f>IF(WEEKDAY(B26,1)=$R$3,B26,"")</f>
        <v/>
      </c>
      <c r="C28" s="252" t="str">
        <f>IF(B28="",IF(WEEKDAY(B26,1)=MOD($R$3,7)+1,B26,""),B28+1)</f>
        <v/>
      </c>
      <c r="D28" s="252" t="str">
        <f>IF(C28="",IF(WEEKDAY(B26,1)=MOD($R$3+1,7)+1,B26,""),C28+1)</f>
        <v/>
      </c>
      <c r="E28" s="252" t="str">
        <f>IF(D28="",IF(WEEKDAY(B26,1)=MOD($R$3+2,7)+1,B26,""),D28+1)</f>
        <v/>
      </c>
      <c r="F28" s="253">
        <f>IF(E28="",IF(WEEKDAY(B26,1)=MOD($R$3+3,7)+1,B26,""),E28+1)</f>
        <v>46023</v>
      </c>
      <c r="G28" s="253">
        <f>IF(F28="",IF(WEEKDAY(B26,1)=MOD($R$3+4,7)+1,B26,""),F28+1)</f>
        <v>46024</v>
      </c>
      <c r="H28" s="252">
        <f>IF(G28="",IF(WEEKDAY(B26,1)=MOD($R$3+5,7)+1,B26,""),G28+1)</f>
        <v>46025</v>
      </c>
      <c r="I28" s="271"/>
      <c r="J28" s="253">
        <f>IF(WEEKDAY(J26,1)=$R$3,J26,"")</f>
        <v>46054</v>
      </c>
      <c r="K28" s="253">
        <f>IF(J28="",IF(WEEKDAY(J26,1)=MOD($R$3,7)+1,J26,""),J28+1)</f>
        <v>46055</v>
      </c>
      <c r="L28" s="253">
        <f>IF(K28="",IF(WEEKDAY(J26,1)=MOD($R$3+1,7)+1,J26,""),K28+1)</f>
        <v>46056</v>
      </c>
      <c r="M28" s="253">
        <f>IF(L28="",IF(WEEKDAY(J26,1)=MOD($R$3+2,7)+1,J26,""),L28+1)</f>
        <v>46057</v>
      </c>
      <c r="N28" s="253">
        <f>IF(M28="",IF(WEEKDAY(J26,1)=MOD($R$3+3,7)+1,J26,""),M28+1)</f>
        <v>46058</v>
      </c>
      <c r="O28" s="253">
        <f>IF(N28="",IF(WEEKDAY(J26,1)=MOD($R$3+4,7)+1,J26,""),N28+1)</f>
        <v>46059</v>
      </c>
      <c r="P28" s="253">
        <f>IF(O28="",IF(WEEKDAY(J26,1)=MOD($R$3+5,7)+1,J26,""),O28+1)</f>
        <v>46060</v>
      </c>
      <c r="Q28" s="271"/>
      <c r="R28" s="252">
        <f>IF(WEEKDAY(R26,1)=$R$3,R26,"")</f>
        <v>46082</v>
      </c>
      <c r="S28" s="252">
        <f>IF(R28="",IF(WEEKDAY(R26,1)=MOD($R$3,7)+1,R26,""),R28+1)</f>
        <v>46083</v>
      </c>
      <c r="T28" s="252">
        <f>IF(S28="",IF(WEEKDAY(R26,1)=MOD($R$3+1,7)+1,R26,""),S28+1)</f>
        <v>46084</v>
      </c>
      <c r="U28" s="252">
        <f>IF(T28="",IF(WEEKDAY(R26,1)=MOD($R$3+2,7)+1,R26,""),T28+1)</f>
        <v>46085</v>
      </c>
      <c r="V28" s="252">
        <f>IF(U28="",IF(WEEKDAY(R26,1)=MOD($R$3+3,7)+1,R26,""),U28+1)</f>
        <v>46086</v>
      </c>
      <c r="W28" s="252">
        <f>IF(V28="",IF(WEEKDAY(R26,1)=MOD($R$3+4,7)+1,R26,""),V28+1)</f>
        <v>46087</v>
      </c>
      <c r="X28" s="252">
        <f>IF(W28="",IF(WEEKDAY(R26,1)=MOD($R$3+5,7)+1,R26,""),W28+1)</f>
        <v>46088</v>
      </c>
      <c r="Y28" s="271"/>
      <c r="Z28" s="248"/>
      <c r="AA28" s="255" t="s">
        <v>248</v>
      </c>
      <c r="AB28" s="256" t="s">
        <v>249</v>
      </c>
      <c r="AC28" s="248"/>
      <c r="AD28" s="273"/>
      <c r="AE28" s="273"/>
    </row>
    <row r="29" ht="13.5" customHeight="1">
      <c r="A29" s="273"/>
      <c r="B29" s="253">
        <f t="shared" ref="B29:B33" si="40">IF(H28="","",IF(MONTH(H28+1)&lt;&gt;MONTH(H28),"",H28+1))</f>
        <v>46026</v>
      </c>
      <c r="C29" s="253">
        <f t="shared" ref="C29:H29" si="37">IF(B29="","",IF(MONTH(B29+1)&lt;&gt;MONTH(B29),"",B29+1))</f>
        <v>46027</v>
      </c>
      <c r="D29" s="253">
        <f t="shared" si="37"/>
        <v>46028</v>
      </c>
      <c r="E29" s="252">
        <f t="shared" si="37"/>
        <v>46029</v>
      </c>
      <c r="F29" s="252">
        <f t="shared" si="37"/>
        <v>46030</v>
      </c>
      <c r="G29" s="252">
        <f t="shared" si="37"/>
        <v>46031</v>
      </c>
      <c r="H29" s="252">
        <f t="shared" si="37"/>
        <v>46032</v>
      </c>
      <c r="I29" s="271"/>
      <c r="J29" s="253">
        <f t="shared" ref="J29:J33" si="42">IF(P28="","",IF(MONTH(P28+1)&lt;&gt;MONTH(P28),"",P28+1))</f>
        <v>46061</v>
      </c>
      <c r="K29" s="253">
        <f t="shared" ref="K29:P29" si="38">IF(J29="","",IF(MONTH(J29+1)&lt;&gt;MONTH(J29),"",J29+1))</f>
        <v>46062</v>
      </c>
      <c r="L29" s="253">
        <f t="shared" si="38"/>
        <v>46063</v>
      </c>
      <c r="M29" s="253">
        <f t="shared" si="38"/>
        <v>46064</v>
      </c>
      <c r="N29" s="253">
        <f t="shared" si="38"/>
        <v>46065</v>
      </c>
      <c r="O29" s="253">
        <f t="shared" si="38"/>
        <v>46066</v>
      </c>
      <c r="P29" s="253">
        <f t="shared" si="38"/>
        <v>46067</v>
      </c>
      <c r="Q29" s="271"/>
      <c r="R29" s="252">
        <f t="shared" ref="R29:R33" si="44">IF(X28="","",IF(MONTH(X28+1)&lt;&gt;MONTH(X28),"",X28+1))</f>
        <v>46089</v>
      </c>
      <c r="S29" s="252">
        <f t="shared" ref="S29:X29" si="39">IF(R29="","",IF(MONTH(R29+1)&lt;&gt;MONTH(R29),"",R29+1))</f>
        <v>46090</v>
      </c>
      <c r="T29" s="252">
        <f t="shared" si="39"/>
        <v>46091</v>
      </c>
      <c r="U29" s="252">
        <f t="shared" si="39"/>
        <v>46092</v>
      </c>
      <c r="V29" s="252">
        <f t="shared" si="39"/>
        <v>46093</v>
      </c>
      <c r="W29" s="252">
        <f t="shared" si="39"/>
        <v>46094</v>
      </c>
      <c r="X29" s="252">
        <f t="shared" si="39"/>
        <v>46095</v>
      </c>
      <c r="Y29" s="271"/>
      <c r="Z29" s="248"/>
      <c r="AA29" s="255">
        <v>45671.0</v>
      </c>
      <c r="AB29" s="243" t="s">
        <v>250</v>
      </c>
      <c r="AC29" s="248"/>
      <c r="AD29" s="273"/>
      <c r="AE29" s="273"/>
    </row>
    <row r="30" ht="13.5" customHeight="1">
      <c r="A30" s="274"/>
      <c r="B30" s="253">
        <f t="shared" si="40"/>
        <v>46033</v>
      </c>
      <c r="C30" s="253">
        <f t="shared" ref="C30:H30" si="41">IF(B30="","",IF(MONTH(B30+1)&lt;&gt;MONTH(B30),"",B30+1))</f>
        <v>46034</v>
      </c>
      <c r="D30" s="253">
        <f t="shared" si="41"/>
        <v>46035</v>
      </c>
      <c r="E30" s="252">
        <f t="shared" si="41"/>
        <v>46036</v>
      </c>
      <c r="F30" s="252">
        <f t="shared" si="41"/>
        <v>46037</v>
      </c>
      <c r="G30" s="252">
        <f t="shared" si="41"/>
        <v>46038</v>
      </c>
      <c r="H30" s="252">
        <f t="shared" si="41"/>
        <v>46039</v>
      </c>
      <c r="I30" s="275"/>
      <c r="J30" s="253">
        <f t="shared" si="42"/>
        <v>46068</v>
      </c>
      <c r="K30" s="253">
        <f t="shared" ref="K30:P30" si="43">IF(J30="","",IF(MONTH(J30+1)&lt;&gt;MONTH(J30),"",J30+1))</f>
        <v>46069</v>
      </c>
      <c r="L30" s="253">
        <f t="shared" si="43"/>
        <v>46070</v>
      </c>
      <c r="M30" s="253">
        <f t="shared" si="43"/>
        <v>46071</v>
      </c>
      <c r="N30" s="253">
        <f t="shared" si="43"/>
        <v>46072</v>
      </c>
      <c r="O30" s="253">
        <f t="shared" si="43"/>
        <v>46073</v>
      </c>
      <c r="P30" s="253">
        <f t="shared" si="43"/>
        <v>46074</v>
      </c>
      <c r="Q30" s="275"/>
      <c r="R30" s="252">
        <f t="shared" si="44"/>
        <v>46096</v>
      </c>
      <c r="S30" s="252">
        <f t="shared" ref="S30:X30" si="45">IF(R30="","",IF(MONTH(R30+1)&lt;&gt;MONTH(R30),"",R30+1))</f>
        <v>46097</v>
      </c>
      <c r="T30" s="252">
        <f t="shared" si="45"/>
        <v>46098</v>
      </c>
      <c r="U30" s="252">
        <f t="shared" si="45"/>
        <v>46099</v>
      </c>
      <c r="V30" s="252">
        <f t="shared" si="45"/>
        <v>46100</v>
      </c>
      <c r="W30" s="252">
        <f t="shared" si="45"/>
        <v>46101</v>
      </c>
      <c r="X30" s="252">
        <f t="shared" si="45"/>
        <v>46102</v>
      </c>
      <c r="Y30" s="275"/>
      <c r="Z30" s="248"/>
      <c r="AA30" s="255">
        <v>45673.0</v>
      </c>
      <c r="AB30" s="243" t="s">
        <v>251</v>
      </c>
      <c r="AC30" s="248"/>
      <c r="AD30" s="274"/>
      <c r="AE30" s="274"/>
    </row>
    <row r="31" ht="13.5" customHeight="1">
      <c r="A31" s="274"/>
      <c r="B31" s="253">
        <f t="shared" si="40"/>
        <v>46040</v>
      </c>
      <c r="C31" s="253">
        <f t="shared" ref="C31:H31" si="46">IF(B31="","",IF(MONTH(B31+1)&lt;&gt;MONTH(B31),"",B31+1))</f>
        <v>46041</v>
      </c>
      <c r="D31" s="253">
        <f t="shared" si="46"/>
        <v>46042</v>
      </c>
      <c r="E31" s="252">
        <f t="shared" si="46"/>
        <v>46043</v>
      </c>
      <c r="F31" s="252">
        <f t="shared" si="46"/>
        <v>46044</v>
      </c>
      <c r="G31" s="252">
        <f t="shared" si="46"/>
        <v>46045</v>
      </c>
      <c r="H31" s="252">
        <f t="shared" si="46"/>
        <v>46046</v>
      </c>
      <c r="I31" s="275"/>
      <c r="J31" s="253">
        <f t="shared" si="42"/>
        <v>46075</v>
      </c>
      <c r="K31" s="253">
        <f t="shared" ref="K31:P31" si="47">IF(J31="","",IF(MONTH(J31+1)&lt;&gt;MONTH(J31),"",J31+1))</f>
        <v>46076</v>
      </c>
      <c r="L31" s="253">
        <f t="shared" si="47"/>
        <v>46077</v>
      </c>
      <c r="M31" s="253">
        <f t="shared" si="47"/>
        <v>46078</v>
      </c>
      <c r="N31" s="253">
        <f t="shared" si="47"/>
        <v>46079</v>
      </c>
      <c r="O31" s="253">
        <f t="shared" si="47"/>
        <v>46080</v>
      </c>
      <c r="P31" s="253">
        <f t="shared" si="47"/>
        <v>46081</v>
      </c>
      <c r="Q31" s="275"/>
      <c r="R31" s="252">
        <f t="shared" si="44"/>
        <v>46103</v>
      </c>
      <c r="S31" s="253">
        <f t="shared" ref="S31:X31" si="48">IF(R31="","",IF(MONTH(R31+1)&lt;&gt;MONTH(R31),"",R31+1))</f>
        <v>46104</v>
      </c>
      <c r="T31" s="253">
        <f t="shared" si="48"/>
        <v>46105</v>
      </c>
      <c r="U31" s="253">
        <f t="shared" si="48"/>
        <v>46106</v>
      </c>
      <c r="V31" s="253">
        <f t="shared" si="48"/>
        <v>46107</v>
      </c>
      <c r="W31" s="253">
        <f t="shared" si="48"/>
        <v>46108</v>
      </c>
      <c r="X31" s="252">
        <f t="shared" si="48"/>
        <v>46109</v>
      </c>
      <c r="Y31" s="275"/>
      <c r="Z31" s="248"/>
      <c r="AA31" s="249" t="s">
        <v>252</v>
      </c>
      <c r="AB31" s="243" t="s">
        <v>253</v>
      </c>
      <c r="AC31" s="248"/>
      <c r="AD31" s="274"/>
      <c r="AE31" s="274"/>
    </row>
    <row r="32" ht="13.5" customHeight="1">
      <c r="A32" s="274"/>
      <c r="B32" s="252">
        <f t="shared" si="40"/>
        <v>46047</v>
      </c>
      <c r="C32" s="252">
        <f t="shared" ref="C32:H32" si="49">IF(B32="","",IF(MONTH(B32+1)&lt;&gt;MONTH(B32),"",B32+1))</f>
        <v>46048</v>
      </c>
      <c r="D32" s="252">
        <f t="shared" si="49"/>
        <v>46049</v>
      </c>
      <c r="E32" s="252">
        <f t="shared" si="49"/>
        <v>46050</v>
      </c>
      <c r="F32" s="252">
        <f t="shared" si="49"/>
        <v>46051</v>
      </c>
      <c r="G32" s="252">
        <f t="shared" si="49"/>
        <v>46052</v>
      </c>
      <c r="H32" s="252">
        <f t="shared" si="49"/>
        <v>46053</v>
      </c>
      <c r="I32" s="275"/>
      <c r="J32" s="252" t="str">
        <f t="shared" si="42"/>
        <v/>
      </c>
      <c r="K32" s="252" t="str">
        <f t="shared" ref="K32:P32" si="50">IF(J32="","",IF(MONTH(J32+1)&lt;&gt;MONTH(J32),"",J32+1))</f>
        <v/>
      </c>
      <c r="L32" s="252" t="str">
        <f t="shared" si="50"/>
        <v/>
      </c>
      <c r="M32" s="252" t="str">
        <f t="shared" si="50"/>
        <v/>
      </c>
      <c r="N32" s="252" t="str">
        <f t="shared" si="50"/>
        <v/>
      </c>
      <c r="O32" s="252" t="str">
        <f t="shared" si="50"/>
        <v/>
      </c>
      <c r="P32" s="252" t="str">
        <f t="shared" si="50"/>
        <v/>
      </c>
      <c r="Q32" s="275"/>
      <c r="R32" s="252">
        <f t="shared" si="44"/>
        <v>46110</v>
      </c>
      <c r="S32" s="253">
        <f t="shared" ref="S32:X32" si="51">IF(R32="","",IF(MONTH(R32+1)&lt;&gt;MONTH(R32),"",R32+1))</f>
        <v>46111</v>
      </c>
      <c r="T32" s="252">
        <f t="shared" si="51"/>
        <v>46112</v>
      </c>
      <c r="U32" s="252" t="str">
        <f t="shared" si="51"/>
        <v/>
      </c>
      <c r="V32" s="252" t="str">
        <f t="shared" si="51"/>
        <v/>
      </c>
      <c r="W32" s="252" t="str">
        <f t="shared" si="51"/>
        <v/>
      </c>
      <c r="X32" s="252" t="str">
        <f t="shared" si="51"/>
        <v/>
      </c>
      <c r="Y32" s="275"/>
      <c r="Z32" s="248"/>
      <c r="AA32" s="249" t="s">
        <v>254</v>
      </c>
      <c r="AB32" s="243" t="s">
        <v>255</v>
      </c>
      <c r="AC32" s="248"/>
      <c r="AD32" s="274"/>
      <c r="AE32" s="274"/>
    </row>
    <row r="33" ht="13.5" customHeight="1">
      <c r="A33" s="276"/>
      <c r="B33" s="252" t="str">
        <f t="shared" si="40"/>
        <v/>
      </c>
      <c r="C33" s="252" t="str">
        <f t="shared" ref="C33:H33" si="52">IF(B33="","",IF(MONTH(B33+1)&lt;&gt;MONTH(B33),"",B33+1))</f>
        <v/>
      </c>
      <c r="D33" s="252" t="str">
        <f t="shared" si="52"/>
        <v/>
      </c>
      <c r="E33" s="252" t="str">
        <f t="shared" si="52"/>
        <v/>
      </c>
      <c r="F33" s="252" t="str">
        <f t="shared" si="52"/>
        <v/>
      </c>
      <c r="G33" s="252" t="str">
        <f t="shared" si="52"/>
        <v/>
      </c>
      <c r="H33" s="252" t="str">
        <f t="shared" si="52"/>
        <v/>
      </c>
      <c r="I33" s="277"/>
      <c r="J33" s="252" t="str">
        <f t="shared" si="42"/>
        <v/>
      </c>
      <c r="K33" s="252" t="str">
        <f t="shared" ref="K33:P33" si="53">IF(J33="","",IF(MONTH(J33+1)&lt;&gt;MONTH(J33),"",J33+1))</f>
        <v/>
      </c>
      <c r="L33" s="252" t="str">
        <f t="shared" si="53"/>
        <v/>
      </c>
      <c r="M33" s="252" t="str">
        <f t="shared" si="53"/>
        <v/>
      </c>
      <c r="N33" s="252" t="str">
        <f t="shared" si="53"/>
        <v/>
      </c>
      <c r="O33" s="252" t="str">
        <f t="shared" si="53"/>
        <v/>
      </c>
      <c r="P33" s="252" t="str">
        <f t="shared" si="53"/>
        <v/>
      </c>
      <c r="Q33" s="277"/>
      <c r="R33" s="252" t="str">
        <f t="shared" si="44"/>
        <v/>
      </c>
      <c r="S33" s="252" t="str">
        <f t="shared" ref="S33:X33" si="54">IF(R33="","",IF(MONTH(R33+1)&lt;&gt;MONTH(R33),"",R33+1))</f>
        <v/>
      </c>
      <c r="T33" s="252" t="str">
        <f t="shared" si="54"/>
        <v/>
      </c>
      <c r="U33" s="252" t="str">
        <f t="shared" si="54"/>
        <v/>
      </c>
      <c r="V33" s="252" t="str">
        <f t="shared" si="54"/>
        <v/>
      </c>
      <c r="W33" s="252" t="str">
        <f t="shared" si="54"/>
        <v/>
      </c>
      <c r="X33" s="252" t="str">
        <f t="shared" si="54"/>
        <v/>
      </c>
      <c r="Y33" s="277"/>
      <c r="Z33" s="248"/>
      <c r="AA33" s="249" t="s">
        <v>256</v>
      </c>
      <c r="AB33" s="243" t="s">
        <v>257</v>
      </c>
      <c r="AC33" s="248"/>
      <c r="AD33" s="276"/>
      <c r="AE33" s="276"/>
    </row>
    <row r="34" ht="13.5" customHeight="1">
      <c r="A34" s="276"/>
      <c r="B34" s="277"/>
      <c r="C34" s="277"/>
      <c r="D34" s="277"/>
      <c r="E34" s="277"/>
      <c r="F34" s="277"/>
      <c r="G34" s="277"/>
      <c r="H34" s="277"/>
      <c r="I34" s="277"/>
      <c r="J34" s="277"/>
      <c r="K34" s="277"/>
      <c r="L34" s="277"/>
      <c r="M34" s="277"/>
      <c r="N34" s="277"/>
      <c r="O34" s="277"/>
      <c r="P34" s="277"/>
      <c r="Q34" s="277"/>
      <c r="R34" s="277"/>
      <c r="S34" s="277"/>
      <c r="T34" s="277"/>
      <c r="U34" s="277"/>
      <c r="V34" s="277"/>
      <c r="W34" s="277"/>
      <c r="X34" s="277"/>
      <c r="Y34" s="277"/>
      <c r="Z34" s="248"/>
      <c r="AA34" s="255" t="s">
        <v>258</v>
      </c>
      <c r="AB34" s="243" t="s">
        <v>212</v>
      </c>
      <c r="AC34" s="248"/>
      <c r="AD34" s="276"/>
      <c r="AE34" s="276"/>
    </row>
    <row r="35" ht="16.5" customHeight="1">
      <c r="A35" s="276"/>
      <c r="B35" s="238">
        <f>DATE(YEAR(R26+42),MONTH(R26+42),1)</f>
        <v>46113</v>
      </c>
      <c r="C35" s="239"/>
      <c r="D35" s="239"/>
      <c r="E35" s="239"/>
      <c r="F35" s="239"/>
      <c r="G35" s="239"/>
      <c r="H35" s="240"/>
      <c r="I35" s="278"/>
      <c r="J35" s="238">
        <f>DATE(YEAR(B35+42),MONTH(B35+42),1)</f>
        <v>46143</v>
      </c>
      <c r="K35" s="239"/>
      <c r="L35" s="239"/>
      <c r="M35" s="239"/>
      <c r="N35" s="239"/>
      <c r="O35" s="239"/>
      <c r="P35" s="240"/>
      <c r="Q35" s="278"/>
      <c r="R35" s="238">
        <f>DATE(YEAR(J35+42),MONTH(J35+42),1)</f>
        <v>46174</v>
      </c>
      <c r="S35" s="239"/>
      <c r="T35" s="239"/>
      <c r="U35" s="239"/>
      <c r="V35" s="239"/>
      <c r="W35" s="239"/>
      <c r="X35" s="240"/>
      <c r="Y35" s="277"/>
      <c r="Z35" s="248"/>
      <c r="AA35" s="255" t="s">
        <v>259</v>
      </c>
      <c r="AB35" s="250" t="s">
        <v>214</v>
      </c>
      <c r="AC35" s="248"/>
      <c r="AD35" s="276"/>
      <c r="AE35" s="276"/>
    </row>
    <row r="36" ht="15.0" customHeight="1">
      <c r="A36" s="279"/>
      <c r="B36" s="245" t="str">
        <f>CHOOSE(1+MOD($R$3+1-2,7),"Su","M","Tu","W","Th","F","Sa")</f>
        <v>Su</v>
      </c>
      <c r="C36" s="246" t="str">
        <f>CHOOSE(1+MOD($R$3+2-2,7),"Su","M","Tu","W","Th","F","Sa")</f>
        <v>M</v>
      </c>
      <c r="D36" s="246" t="str">
        <f>CHOOSE(1+MOD($R$3+3-2,7),"Su","M","Tu","W","Th","F","Sa")</f>
        <v>Tu</v>
      </c>
      <c r="E36" s="246" t="str">
        <f>CHOOSE(1+MOD($R$3+4-2,7),"Su","M","Tu","W","Th","F","Sa")</f>
        <v>W</v>
      </c>
      <c r="F36" s="246" t="str">
        <f>CHOOSE(1+MOD($R$3+5-2,7),"Su","M","Tu","W","Th","F","Sa")</f>
        <v>Th</v>
      </c>
      <c r="G36" s="246" t="str">
        <f>CHOOSE(1+MOD($R$3+6-2,7),"Su","M","Tu","W","Th","F","Sa")</f>
        <v>F</v>
      </c>
      <c r="H36" s="247" t="str">
        <f>CHOOSE(1+MOD($R$3+7-2,7),"Su","M","Tu","W","Th","F","Sa")</f>
        <v>Sa</v>
      </c>
      <c r="I36" s="279"/>
      <c r="J36" s="245" t="str">
        <f>CHOOSE(1+MOD($R$3+1-2,7),"Su","M","Tu","W","Th","F","Sa")</f>
        <v>Su</v>
      </c>
      <c r="K36" s="246" t="str">
        <f>CHOOSE(1+MOD($R$3+2-2,7),"Su","M","Tu","W","Th","F","Sa")</f>
        <v>M</v>
      </c>
      <c r="L36" s="246" t="str">
        <f>CHOOSE(1+MOD($R$3+3-2,7),"Su","M","Tu","W","Th","F","Sa")</f>
        <v>Tu</v>
      </c>
      <c r="M36" s="246" t="str">
        <f>CHOOSE(1+MOD($R$3+4-2,7),"Su","M","Tu","W","Th","F","Sa")</f>
        <v>W</v>
      </c>
      <c r="N36" s="246" t="str">
        <f>CHOOSE(1+MOD($R$3+5-2,7),"Su","M","Tu","W","Th","F","Sa")</f>
        <v>Th</v>
      </c>
      <c r="O36" s="246" t="str">
        <f>CHOOSE(1+MOD($R$3+6-2,7),"Su","M","Tu","W","Th","F","Sa")</f>
        <v>F</v>
      </c>
      <c r="P36" s="247" t="str">
        <f>CHOOSE(1+MOD($R$3+7-2,7),"Su","M","Tu","W","Th","F","Sa")</f>
        <v>Sa</v>
      </c>
      <c r="Q36" s="279"/>
      <c r="R36" s="245" t="str">
        <f>CHOOSE(1+MOD($R$3+1-2,7),"Su","M","Tu","W","Th","F","Sa")</f>
        <v>Su</v>
      </c>
      <c r="S36" s="246" t="str">
        <f>CHOOSE(1+MOD($R$3+2-2,7),"Su","M","Tu","W","Th","F","Sa")</f>
        <v>M</v>
      </c>
      <c r="T36" s="246" t="str">
        <f>CHOOSE(1+MOD($R$3+3-2,7),"Su","M","Tu","W","Th","F","Sa")</f>
        <v>Tu</v>
      </c>
      <c r="U36" s="246" t="str">
        <f>CHOOSE(1+MOD($R$3+4-2,7),"Su","M","Tu","W","Th","F","Sa")</f>
        <v>W</v>
      </c>
      <c r="V36" s="246" t="str">
        <f>CHOOSE(1+MOD($R$3+5-2,7),"Su","M","Tu","W","Th","F","Sa")</f>
        <v>Th</v>
      </c>
      <c r="W36" s="246" t="str">
        <f>CHOOSE(1+MOD($R$3+6-2,7),"Su","M","Tu","W","Th","F","Sa")</f>
        <v>F</v>
      </c>
      <c r="X36" s="247" t="str">
        <f>CHOOSE(1+MOD($R$3+7-2,7),"Su","M","Tu","W","Th","F","Sa")</f>
        <v>Sa</v>
      </c>
      <c r="Y36" s="279"/>
      <c r="Z36" s="248"/>
      <c r="AA36" s="255" t="s">
        <v>260</v>
      </c>
      <c r="AB36" s="243" t="s">
        <v>216</v>
      </c>
      <c r="AC36" s="248"/>
      <c r="AD36" s="279"/>
      <c r="AE36" s="279"/>
    </row>
    <row r="37" ht="13.5" customHeight="1">
      <c r="A37" s="280"/>
      <c r="B37" s="252" t="str">
        <f>IF(WEEKDAY(B35,1)=$R$3,B35,"")</f>
        <v/>
      </c>
      <c r="C37" s="252" t="str">
        <f>IF(B37="",IF(WEEKDAY(B35,1)=MOD($R$3,7)+1,B35,""),B37+1)</f>
        <v/>
      </c>
      <c r="D37" s="252" t="str">
        <f>IF(C37="",IF(WEEKDAY(B35,1)=MOD($R$3+1,7)+1,B35,""),C37+1)</f>
        <v/>
      </c>
      <c r="E37" s="252">
        <f>IF(D37="",IF(WEEKDAY(B35,1)=MOD($R$3+2,7)+1,B35,""),D37+1)</f>
        <v>46113</v>
      </c>
      <c r="F37" s="252">
        <f>IF(E37="",IF(WEEKDAY(B35,1)=MOD($R$3+3,7)+1,B35,""),E37+1)</f>
        <v>46114</v>
      </c>
      <c r="G37" s="281">
        <f>IF(F37="",IF(WEEKDAY(B35,1)=MOD($R$3+4,7)+1,B35,""),F37+1)</f>
        <v>46115</v>
      </c>
      <c r="H37" s="252">
        <f>IF(G37="",IF(WEEKDAY(B35,1)=MOD($R$3+5,7)+1,B35,""),G37+1)</f>
        <v>46116</v>
      </c>
      <c r="I37" s="279"/>
      <c r="J37" s="252" t="str">
        <f>IF(WEEKDAY(J35,1)=$R$3,J35,"")</f>
        <v/>
      </c>
      <c r="K37" s="252" t="str">
        <f>IF(J37="",IF(WEEKDAY(J35,1)=MOD($R$3,7)+1,J35,""),J37+1)</f>
        <v/>
      </c>
      <c r="L37" s="252" t="str">
        <f>IF(K37="",IF(WEEKDAY(J35,1)=MOD($R$3+1,7)+1,J35,""),K37+1)</f>
        <v/>
      </c>
      <c r="M37" s="252" t="str">
        <f>IF(L37="",IF(WEEKDAY(J35,1)=MOD($R$3+2,7)+1,J35,""),L37+1)</f>
        <v/>
      </c>
      <c r="N37" s="252" t="str">
        <f>IF(M37="",IF(WEEKDAY(J35,1)=MOD($R$3+3,7)+1,J35,""),M37+1)</f>
        <v/>
      </c>
      <c r="O37" s="252">
        <f>IF(N37="",IF(WEEKDAY(J35,1)=MOD($R$3+4,7)+1,J35,""),N37+1)</f>
        <v>46143</v>
      </c>
      <c r="P37" s="252">
        <f>IF(O37="",IF(WEEKDAY(J35,1)=MOD($R$3+5,7)+1,J35,""),O37+1)</f>
        <v>46144</v>
      </c>
      <c r="Q37" s="279"/>
      <c r="R37" s="252" t="str">
        <f>IF(WEEKDAY(R35,1)=$R$3,R35,"")</f>
        <v/>
      </c>
      <c r="S37" s="252">
        <f>IF(R37="",IF(WEEKDAY(R35,1)=MOD($R$3,7)+1,R35,""),R37+1)</f>
        <v>46174</v>
      </c>
      <c r="T37" s="252">
        <f>IF(S37="",IF(WEEKDAY(R35,1)=MOD($R$3+1,7)+1,R35,""),S37+1)</f>
        <v>46175</v>
      </c>
      <c r="U37" s="252">
        <f>IF(T37="",IF(WEEKDAY(R35,1)=MOD($R$3+2,7)+1,R35,""),T37+1)</f>
        <v>46176</v>
      </c>
      <c r="V37" s="252">
        <f>IF(U37="",IF(WEEKDAY(R35,1)=MOD($R$3+3,7)+1,R35,""),U37+1)</f>
        <v>46177</v>
      </c>
      <c r="W37" s="252">
        <f>IF(V37="",IF(WEEKDAY(R35,1)=MOD($R$3+4,7)+1,R35,""),V37+1)</f>
        <v>46178</v>
      </c>
      <c r="X37" s="252">
        <f>IF(W37="",IF(WEEKDAY(R35,1)=MOD($R$3+5,7)+1,R35,""),W37+1)</f>
        <v>46179</v>
      </c>
      <c r="Y37" s="279"/>
      <c r="Z37" s="248"/>
      <c r="AA37" s="249" t="s">
        <v>261</v>
      </c>
      <c r="AB37" s="243" t="s">
        <v>218</v>
      </c>
      <c r="AC37" s="248"/>
      <c r="AD37" s="280"/>
      <c r="AE37" s="280"/>
    </row>
    <row r="38" ht="13.5" customHeight="1">
      <c r="A38" s="280"/>
      <c r="B38" s="252">
        <f t="shared" ref="B38:B42" si="58">IF(H37="","",IF(MONTH(H37+1)&lt;&gt;MONTH(H37),"",H37+1))</f>
        <v>46117</v>
      </c>
      <c r="C38" s="252">
        <f t="shared" ref="C38:H38" si="55">IF(B38="","",IF(MONTH(B38+1)&lt;&gt;MONTH(B38),"",B38+1))</f>
        <v>46118</v>
      </c>
      <c r="D38" s="252">
        <f t="shared" si="55"/>
        <v>46119</v>
      </c>
      <c r="E38" s="252">
        <f t="shared" si="55"/>
        <v>46120</v>
      </c>
      <c r="F38" s="252">
        <f t="shared" si="55"/>
        <v>46121</v>
      </c>
      <c r="G38" s="252">
        <f t="shared" si="55"/>
        <v>46122</v>
      </c>
      <c r="H38" s="252">
        <f t="shared" si="55"/>
        <v>46123</v>
      </c>
      <c r="I38" s="279"/>
      <c r="J38" s="252">
        <f t="shared" ref="J38:J42" si="60">IF(P37="","",IF(MONTH(P37+1)&lt;&gt;MONTH(P37),"",P37+1))</f>
        <v>46145</v>
      </c>
      <c r="K38" s="252">
        <f t="shared" ref="K38:P38" si="56">IF(J38="","",IF(MONTH(J38+1)&lt;&gt;MONTH(J38),"",J38+1))</f>
        <v>46146</v>
      </c>
      <c r="L38" s="252">
        <f t="shared" si="56"/>
        <v>46147</v>
      </c>
      <c r="M38" s="252">
        <f t="shared" si="56"/>
        <v>46148</v>
      </c>
      <c r="N38" s="252">
        <f t="shared" si="56"/>
        <v>46149</v>
      </c>
      <c r="O38" s="252">
        <f t="shared" si="56"/>
        <v>46150</v>
      </c>
      <c r="P38" s="252">
        <f t="shared" si="56"/>
        <v>46151</v>
      </c>
      <c r="Q38" s="279"/>
      <c r="R38" s="252">
        <f t="shared" ref="R38:R42" si="62">IF(X37="","",IF(MONTH(X37+1)&lt;&gt;MONTH(X37),"",X37+1))</f>
        <v>46180</v>
      </c>
      <c r="S38" s="252">
        <f t="shared" ref="S38:X38" si="57">IF(R38="","",IF(MONTH(R38+1)&lt;&gt;MONTH(R38),"",R38+1))</f>
        <v>46181</v>
      </c>
      <c r="T38" s="252">
        <f t="shared" si="57"/>
        <v>46182</v>
      </c>
      <c r="U38" s="252">
        <f t="shared" si="57"/>
        <v>46183</v>
      </c>
      <c r="V38" s="252">
        <f t="shared" si="57"/>
        <v>46184</v>
      </c>
      <c r="W38" s="252">
        <f t="shared" si="57"/>
        <v>46185</v>
      </c>
      <c r="X38" s="252">
        <f t="shared" si="57"/>
        <v>46186</v>
      </c>
      <c r="Y38" s="279"/>
      <c r="Z38" s="248"/>
      <c r="AA38" s="255">
        <v>45680.0</v>
      </c>
      <c r="AB38" s="256" t="s">
        <v>219</v>
      </c>
      <c r="AC38" s="248"/>
      <c r="AD38" s="280"/>
      <c r="AE38" s="280"/>
    </row>
    <row r="39" ht="13.5" customHeight="1">
      <c r="A39" s="282"/>
      <c r="B39" s="252">
        <f t="shared" si="58"/>
        <v>46124</v>
      </c>
      <c r="C39" s="252">
        <f t="shared" ref="C39:H39" si="59">IF(B39="","",IF(MONTH(B39+1)&lt;&gt;MONTH(B39),"",B39+1))</f>
        <v>46125</v>
      </c>
      <c r="D39" s="252">
        <f t="shared" si="59"/>
        <v>46126</v>
      </c>
      <c r="E39" s="252">
        <f t="shared" si="59"/>
        <v>46127</v>
      </c>
      <c r="F39" s="252">
        <f t="shared" si="59"/>
        <v>46128</v>
      </c>
      <c r="G39" s="252">
        <f t="shared" si="59"/>
        <v>46129</v>
      </c>
      <c r="H39" s="252">
        <f t="shared" si="59"/>
        <v>46130</v>
      </c>
      <c r="I39" s="283"/>
      <c r="J39" s="252">
        <f t="shared" si="60"/>
        <v>46152</v>
      </c>
      <c r="K39" s="252">
        <f t="shared" ref="K39:P39" si="61">IF(J39="","",IF(MONTH(J39+1)&lt;&gt;MONTH(J39),"",J39+1))</f>
        <v>46153</v>
      </c>
      <c r="L39" s="252">
        <f t="shared" si="61"/>
        <v>46154</v>
      </c>
      <c r="M39" s="252">
        <f t="shared" si="61"/>
        <v>46155</v>
      </c>
      <c r="N39" s="252">
        <f t="shared" si="61"/>
        <v>46156</v>
      </c>
      <c r="O39" s="252">
        <f t="shared" si="61"/>
        <v>46157</v>
      </c>
      <c r="P39" s="252">
        <f t="shared" si="61"/>
        <v>46158</v>
      </c>
      <c r="Q39" s="283"/>
      <c r="R39" s="252">
        <f t="shared" si="62"/>
        <v>46187</v>
      </c>
      <c r="S39" s="252">
        <f t="shared" ref="S39:X39" si="63">IF(R39="","",IF(MONTH(R39+1)&lt;&gt;MONTH(R39),"",R39+1))</f>
        <v>46188</v>
      </c>
      <c r="T39" s="252">
        <f t="shared" si="63"/>
        <v>46189</v>
      </c>
      <c r="U39" s="252">
        <f t="shared" si="63"/>
        <v>46190</v>
      </c>
      <c r="V39" s="252">
        <f t="shared" si="63"/>
        <v>46191</v>
      </c>
      <c r="W39" s="252">
        <f t="shared" si="63"/>
        <v>46192</v>
      </c>
      <c r="X39" s="252">
        <f t="shared" si="63"/>
        <v>46193</v>
      </c>
      <c r="Y39" s="283"/>
      <c r="Z39" s="248"/>
      <c r="AA39" s="255" t="s">
        <v>262</v>
      </c>
      <c r="AB39" s="243" t="s">
        <v>221</v>
      </c>
      <c r="AC39" s="248"/>
      <c r="AD39" s="282"/>
      <c r="AE39" s="282"/>
    </row>
    <row r="40" ht="13.5" customHeight="1">
      <c r="A40" s="282"/>
      <c r="B40" s="252">
        <f t="shared" si="58"/>
        <v>46131</v>
      </c>
      <c r="C40" s="252">
        <f t="shared" ref="C40:H40" si="64">IF(B40="","",IF(MONTH(B40+1)&lt;&gt;MONTH(B40),"",B40+1))</f>
        <v>46132</v>
      </c>
      <c r="D40" s="252">
        <f t="shared" si="64"/>
        <v>46133</v>
      </c>
      <c r="E40" s="252">
        <f t="shared" si="64"/>
        <v>46134</v>
      </c>
      <c r="F40" s="252">
        <f t="shared" si="64"/>
        <v>46135</v>
      </c>
      <c r="G40" s="252">
        <f t="shared" si="64"/>
        <v>46136</v>
      </c>
      <c r="H40" s="252">
        <f t="shared" si="64"/>
        <v>46137</v>
      </c>
      <c r="I40" s="283"/>
      <c r="J40" s="252">
        <f t="shared" si="60"/>
        <v>46159</v>
      </c>
      <c r="K40" s="252">
        <f t="shared" ref="K40:P40" si="65">IF(J40="","",IF(MONTH(J40+1)&lt;&gt;MONTH(J40),"",J40+1))</f>
        <v>46160</v>
      </c>
      <c r="L40" s="252">
        <f t="shared" si="65"/>
        <v>46161</v>
      </c>
      <c r="M40" s="252">
        <f t="shared" si="65"/>
        <v>46162</v>
      </c>
      <c r="N40" s="281">
        <f t="shared" si="65"/>
        <v>46163</v>
      </c>
      <c r="O40" s="252">
        <f t="shared" si="65"/>
        <v>46164</v>
      </c>
      <c r="P40" s="252">
        <f t="shared" si="65"/>
        <v>46165</v>
      </c>
      <c r="Q40" s="283"/>
      <c r="R40" s="252">
        <f t="shared" si="62"/>
        <v>46194</v>
      </c>
      <c r="S40" s="252">
        <f t="shared" ref="S40:X40" si="66">IF(R40="","",IF(MONTH(R40+1)&lt;&gt;MONTH(R40),"",R40+1))</f>
        <v>46195</v>
      </c>
      <c r="T40" s="252">
        <f t="shared" si="66"/>
        <v>46196</v>
      </c>
      <c r="U40" s="252">
        <f t="shared" si="66"/>
        <v>46197</v>
      </c>
      <c r="V40" s="252">
        <f t="shared" si="66"/>
        <v>46198</v>
      </c>
      <c r="W40" s="252">
        <f t="shared" si="66"/>
        <v>46199</v>
      </c>
      <c r="X40" s="252">
        <f t="shared" si="66"/>
        <v>46200</v>
      </c>
      <c r="Y40" s="283"/>
      <c r="Z40" s="248"/>
      <c r="AA40" s="255" t="s">
        <v>263</v>
      </c>
      <c r="AB40" s="243" t="s">
        <v>223</v>
      </c>
      <c r="AC40" s="248"/>
      <c r="AD40" s="282"/>
      <c r="AE40" s="282"/>
    </row>
    <row r="41" ht="13.5" customHeight="1">
      <c r="A41" s="282"/>
      <c r="B41" s="252">
        <f t="shared" si="58"/>
        <v>46138</v>
      </c>
      <c r="C41" s="252">
        <f t="shared" ref="C41:H41" si="67">IF(B41="","",IF(MONTH(B41+1)&lt;&gt;MONTH(B41),"",B41+1))</f>
        <v>46139</v>
      </c>
      <c r="D41" s="252">
        <f t="shared" si="67"/>
        <v>46140</v>
      </c>
      <c r="E41" s="252">
        <f t="shared" si="67"/>
        <v>46141</v>
      </c>
      <c r="F41" s="252">
        <f t="shared" si="67"/>
        <v>46142</v>
      </c>
      <c r="G41" s="252" t="str">
        <f t="shared" si="67"/>
        <v/>
      </c>
      <c r="H41" s="252" t="str">
        <f t="shared" si="67"/>
        <v/>
      </c>
      <c r="I41" s="283"/>
      <c r="J41" s="252">
        <f t="shared" si="60"/>
        <v>46166</v>
      </c>
      <c r="K41" s="252">
        <f t="shared" ref="K41:P41" si="68">IF(J41="","",IF(MONTH(J41+1)&lt;&gt;MONTH(J41),"",J41+1))</f>
        <v>46167</v>
      </c>
      <c r="L41" s="252">
        <f t="shared" si="68"/>
        <v>46168</v>
      </c>
      <c r="M41" s="252">
        <f t="shared" si="68"/>
        <v>46169</v>
      </c>
      <c r="N41" s="252">
        <f t="shared" si="68"/>
        <v>46170</v>
      </c>
      <c r="O41" s="252">
        <f t="shared" si="68"/>
        <v>46171</v>
      </c>
      <c r="P41" s="252">
        <f t="shared" si="68"/>
        <v>46172</v>
      </c>
      <c r="Q41" s="284"/>
      <c r="R41" s="252">
        <f t="shared" si="62"/>
        <v>46201</v>
      </c>
      <c r="S41" s="252">
        <f t="shared" ref="S41:X41" si="69">IF(R41="","",IF(MONTH(R41+1)&lt;&gt;MONTH(R41),"",R41+1))</f>
        <v>46202</v>
      </c>
      <c r="T41" s="252">
        <f t="shared" si="69"/>
        <v>46203</v>
      </c>
      <c r="U41" s="252" t="str">
        <f t="shared" si="69"/>
        <v/>
      </c>
      <c r="V41" s="252" t="str">
        <f t="shared" si="69"/>
        <v/>
      </c>
      <c r="W41" s="252" t="str">
        <f t="shared" si="69"/>
        <v/>
      </c>
      <c r="X41" s="252" t="str">
        <f t="shared" si="69"/>
        <v/>
      </c>
      <c r="Y41" s="283"/>
      <c r="Z41" s="248"/>
      <c r="AA41" s="255" t="s">
        <v>256</v>
      </c>
      <c r="AB41" s="243" t="s">
        <v>225</v>
      </c>
      <c r="AC41" s="248"/>
      <c r="AD41" s="282"/>
      <c r="AE41" s="282"/>
    </row>
    <row r="42" ht="13.5" customHeight="1">
      <c r="A42" s="285"/>
      <c r="B42" s="252" t="str">
        <f t="shared" si="58"/>
        <v/>
      </c>
      <c r="C42" s="252" t="str">
        <f t="shared" ref="C42:H42" si="70">IF(B42="","",IF(MONTH(B42+1)&lt;&gt;MONTH(B42),"",B42+1))</f>
        <v/>
      </c>
      <c r="D42" s="252" t="str">
        <f t="shared" si="70"/>
        <v/>
      </c>
      <c r="E42" s="252" t="str">
        <f t="shared" si="70"/>
        <v/>
      </c>
      <c r="F42" s="252" t="str">
        <f t="shared" si="70"/>
        <v/>
      </c>
      <c r="G42" s="252" t="str">
        <f t="shared" si="70"/>
        <v/>
      </c>
      <c r="H42" s="252" t="str">
        <f t="shared" si="70"/>
        <v/>
      </c>
      <c r="I42" s="286"/>
      <c r="J42" s="252">
        <f t="shared" si="60"/>
        <v>46173</v>
      </c>
      <c r="K42" s="252" t="str">
        <f t="shared" ref="K42:P42" si="71">IF(J42="","",IF(MONTH(J42+1)&lt;&gt;MONTH(J42),"",J42+1))</f>
        <v/>
      </c>
      <c r="L42" s="252" t="str">
        <f t="shared" si="71"/>
        <v/>
      </c>
      <c r="M42" s="252" t="str">
        <f t="shared" si="71"/>
        <v/>
      </c>
      <c r="N42" s="252" t="str">
        <f t="shared" si="71"/>
        <v/>
      </c>
      <c r="O42" s="252" t="str">
        <f t="shared" si="71"/>
        <v/>
      </c>
      <c r="P42" s="252" t="str">
        <f t="shared" si="71"/>
        <v/>
      </c>
      <c r="Q42" s="286"/>
      <c r="R42" s="252" t="str">
        <f t="shared" si="62"/>
        <v/>
      </c>
      <c r="S42" s="252" t="str">
        <f t="shared" ref="S42:X42" si="72">IF(R42="","",IF(MONTH(R42+1)&lt;&gt;MONTH(R42),"",R42+1))</f>
        <v/>
      </c>
      <c r="T42" s="252" t="str">
        <f t="shared" si="72"/>
        <v/>
      </c>
      <c r="U42" s="252" t="str">
        <f t="shared" si="72"/>
        <v/>
      </c>
      <c r="V42" s="252" t="str">
        <f t="shared" si="72"/>
        <v/>
      </c>
      <c r="W42" s="252" t="str">
        <f t="shared" si="72"/>
        <v/>
      </c>
      <c r="X42" s="252" t="str">
        <f t="shared" si="72"/>
        <v/>
      </c>
      <c r="Y42" s="286"/>
      <c r="Z42" s="248"/>
      <c r="AA42" s="255" t="s">
        <v>264</v>
      </c>
      <c r="AB42" s="243" t="s">
        <v>227</v>
      </c>
      <c r="AC42" s="287"/>
      <c r="AD42" s="285"/>
      <c r="AE42" s="285"/>
    </row>
    <row r="43" ht="13.5" customHeight="1">
      <c r="A43" s="285"/>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c r="Z43" s="285"/>
      <c r="AA43" s="285"/>
      <c r="AB43" s="285"/>
      <c r="AC43" s="285"/>
      <c r="AD43" s="285"/>
      <c r="AE43" s="285"/>
    </row>
    <row r="44" ht="12.75" customHeight="1">
      <c r="A44" s="285"/>
      <c r="B44" s="288"/>
      <c r="C44" s="285"/>
      <c r="D44" s="285"/>
      <c r="E44" s="285"/>
      <c r="F44" s="285"/>
      <c r="G44" s="285"/>
      <c r="H44" s="285"/>
      <c r="I44" s="285"/>
      <c r="J44" s="285"/>
      <c r="K44" s="285"/>
      <c r="L44" s="285"/>
      <c r="M44" s="285"/>
      <c r="N44" s="285"/>
      <c r="O44" s="285"/>
      <c r="P44" s="285"/>
      <c r="Q44" s="285"/>
      <c r="R44" s="285"/>
      <c r="S44" s="285"/>
      <c r="T44" s="285"/>
      <c r="U44" s="285"/>
      <c r="V44" s="285"/>
      <c r="W44" s="285"/>
      <c r="X44" s="285"/>
      <c r="Y44" s="286"/>
      <c r="Z44" s="286"/>
      <c r="AA44" s="286"/>
      <c r="AB44" s="289"/>
      <c r="AC44" s="286"/>
      <c r="AD44" s="286"/>
      <c r="AE44" s="286"/>
    </row>
    <row r="45" ht="12.75" customHeight="1">
      <c r="A45" s="290"/>
      <c r="B45" s="290"/>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0"/>
      <c r="AA45" s="290"/>
      <c r="AB45" s="290"/>
      <c r="AC45" s="290"/>
      <c r="AD45" s="290"/>
      <c r="AE45" s="290"/>
    </row>
    <row r="46" ht="12.75" customHeight="1">
      <c r="A46" s="290"/>
      <c r="B46" s="290"/>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0"/>
      <c r="AA46" s="290"/>
      <c r="AB46" s="290"/>
      <c r="AC46" s="290"/>
      <c r="AD46" s="290"/>
      <c r="AE46" s="290"/>
    </row>
    <row r="47" ht="12.75" customHeight="1">
      <c r="A47" s="290"/>
      <c r="B47" s="290"/>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0"/>
      <c r="AA47" s="290"/>
      <c r="AB47" s="290"/>
      <c r="AC47" s="290"/>
      <c r="AD47" s="290"/>
      <c r="AE47" s="290"/>
    </row>
    <row r="48" ht="12.75" customHeight="1">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c r="AD48" s="291"/>
      <c r="AE48" s="291"/>
    </row>
    <row r="49" ht="12.75" customHeight="1">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c r="AD49" s="291"/>
      <c r="AE49" s="291"/>
    </row>
    <row r="50" ht="12.75" customHeight="1">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sheetData>
  <mergeCells count="18">
    <mergeCell ref="D3:F3"/>
    <mergeCell ref="J3:L3"/>
    <mergeCell ref="R3:S3"/>
    <mergeCell ref="AA4:AB5"/>
    <mergeCell ref="B6:X6"/>
    <mergeCell ref="AA6:AB6"/>
    <mergeCell ref="B8:H8"/>
    <mergeCell ref="B26:H26"/>
    <mergeCell ref="B35:H35"/>
    <mergeCell ref="J35:P35"/>
    <mergeCell ref="R35:X35"/>
    <mergeCell ref="J8:P8"/>
    <mergeCell ref="R8:X8"/>
    <mergeCell ref="B17:H17"/>
    <mergeCell ref="J17:P17"/>
    <mergeCell ref="R17:X17"/>
    <mergeCell ref="J26:P26"/>
    <mergeCell ref="R26:X26"/>
  </mergeCells>
  <conditionalFormatting sqref="A1:H1">
    <cfRule type="colorScale" priority="1">
      <colorScale>
        <cfvo type="formula" val="0"/>
        <cfvo type="formula" val="50"/>
        <cfvo type="formula" val="100"/>
        <color rgb="FF1A1B2F"/>
        <color rgb="FF5F2EEA"/>
        <color rgb="FFB980F0"/>
      </colorScale>
    </cfRule>
  </conditionalFormatting>
  <conditionalFormatting sqref="B10:H15 B19:H24 B28:H33 B37:H42 J10:P15 J19:P24 J28:P33 J37:P42 R10:X15 R19:X24 R28:X33 R37:X42">
    <cfRule type="cellIs" dxfId="6" priority="2" operator="equal">
      <formula>""</formula>
    </cfRule>
  </conditionalFormatting>
  <conditionalFormatting sqref="B10:H15 B19:H24 B28:H33 B37:H42 J10:P15 J19:P24 J28:P33 J37:P42 R10:X15 R19:X24 R28:X33 R37:X42">
    <cfRule type="expression" dxfId="7" priority="3">
      <formula>OR(WEEKDAY(B10,1)=1,WEEKDAY(B10,1)=7)</formula>
    </cfRule>
  </conditionalFormatting>
  <conditionalFormatting sqref="B8 B17 B26 B35 J8 J17 J26 J35 R8 R17 R26 R35">
    <cfRule type="expression" dxfId="8" priority="4">
      <formula>$J$3=1</formula>
    </cfRule>
  </conditionalFormatting>
  <dataValidations>
    <dataValidation type="list" allowBlank="1" showErrorMessage="1" sqref="J3">
      <formula1>"1,2,3,4,5,6,7,8,9,10,11,12"</formula1>
    </dataValidation>
    <dataValidation type="list" allowBlank="1" showErrorMessage="1" sqref="R3">
      <formula1>"1,2,3,4,5,6,7,8,9,10,11,12,13,14,15,16,17,18,19,20,21,22,23,24,25,26,27,28,29,30,31"</formula1>
    </dataValidation>
    <dataValidation type="list" allowBlank="1" showErrorMessage="1" sqref="D3">
      <formula1>"2021,2022,2023,2024,2025,2026,2027,2028,2029,2030"</formula1>
    </dataValidation>
  </dataValidations>
  <hyperlinks>
    <hyperlink display="HOME" location="Home!A1" ref="A1"/>
    <hyperlink display="DASHBOARD" location="Dashboard!A1" ref="B1"/>
    <hyperlink display="ENTRY DATA" location="'Entry Data'!A1" ref="C1"/>
    <hyperlink display="DATA BASE" location="Database!A1" ref="D1"/>
    <hyperlink display="GRAPH" location="Graph!A1" ref="E1"/>
    <hyperlink display="JADWAL" location="'Jadwal Kuliah'!A1" ref="F1"/>
    <hyperlink display="KALENDER" location="'Kalender '!A1" ref="G1"/>
    <hyperlink display="TRACKER" location="'Tracking Matkul'!A1" ref="H1"/>
  </hyperlinks>
  <printOptions horizontalCentered="1"/>
  <pageMargins bottom="0.35" footer="0.0" header="0.0" left="0.35" right="0.35" top="0.4"/>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3.88"/>
    <col customWidth="1" min="3" max="3" width="17.5"/>
    <col customWidth="1" min="4" max="4" width="16.63"/>
    <col customWidth="1" min="8" max="8" width="15.25"/>
  </cols>
  <sheetData>
    <row r="1" ht="23.25" customHeight="1">
      <c r="A1" s="1" t="s">
        <v>0</v>
      </c>
      <c r="B1" s="2" t="s">
        <v>1</v>
      </c>
      <c r="C1" s="3" t="s">
        <v>2</v>
      </c>
      <c r="D1" s="2" t="s">
        <v>3</v>
      </c>
      <c r="E1" s="2" t="s">
        <v>4</v>
      </c>
      <c r="F1" s="3" t="s">
        <v>5</v>
      </c>
      <c r="G1" s="2" t="s">
        <v>6</v>
      </c>
      <c r="H1" s="2" t="s">
        <v>7</v>
      </c>
      <c r="I1" s="292"/>
      <c r="J1" s="292"/>
      <c r="K1" s="292"/>
      <c r="L1" s="292"/>
      <c r="M1" s="292"/>
      <c r="N1" s="292"/>
    </row>
    <row r="2">
      <c r="A2" s="292"/>
      <c r="B2" s="292"/>
      <c r="C2" s="292"/>
      <c r="D2" s="292"/>
      <c r="E2" s="292"/>
      <c r="F2" s="292"/>
      <c r="G2" s="292"/>
      <c r="H2" s="292"/>
      <c r="I2" s="292"/>
      <c r="J2" s="292"/>
      <c r="K2" s="292"/>
      <c r="L2" s="292"/>
      <c r="M2" s="292"/>
      <c r="N2" s="292"/>
    </row>
    <row r="3">
      <c r="A3" s="293"/>
      <c r="B3" s="294"/>
      <c r="C3" s="295"/>
      <c r="D3" s="296"/>
      <c r="E3" s="296"/>
      <c r="F3" s="296"/>
      <c r="G3" s="296"/>
      <c r="H3" s="296"/>
      <c r="I3" s="296"/>
      <c r="J3" s="296"/>
      <c r="K3" s="296"/>
      <c r="L3" s="296"/>
      <c r="M3" s="296"/>
      <c r="N3" s="296"/>
    </row>
    <row r="4" ht="22.5" customHeight="1">
      <c r="A4" s="296"/>
      <c r="B4" s="296"/>
      <c r="C4" s="297" t="s">
        <v>265</v>
      </c>
      <c r="D4" s="297" t="s">
        <v>40</v>
      </c>
      <c r="E4" s="296"/>
      <c r="F4" s="296"/>
      <c r="G4" s="296"/>
      <c r="H4" s="296"/>
      <c r="I4" s="296"/>
      <c r="J4" s="296"/>
      <c r="K4" s="296"/>
      <c r="L4" s="296"/>
      <c r="M4" s="296"/>
      <c r="N4" s="296"/>
    </row>
    <row r="5" ht="22.5" customHeight="1">
      <c r="A5" s="298"/>
      <c r="B5" s="298"/>
      <c r="C5" s="299" t="s">
        <v>95</v>
      </c>
      <c r="D5" s="300">
        <f>IFERROR(SUMIF(Database!S:S, C5, Database!R:AA), "")
</f>
        <v>1</v>
      </c>
      <c r="E5" s="298"/>
      <c r="F5" s="298"/>
      <c r="G5" s="298"/>
      <c r="H5" s="298"/>
      <c r="I5" s="298"/>
      <c r="J5" s="298"/>
      <c r="K5" s="298"/>
      <c r="L5" s="298"/>
      <c r="M5" s="298"/>
      <c r="N5" s="298"/>
    </row>
    <row r="6">
      <c r="A6" s="301"/>
      <c r="B6" s="298"/>
      <c r="C6" s="302"/>
      <c r="D6" s="298"/>
      <c r="E6" s="298"/>
      <c r="F6" s="298"/>
      <c r="G6" s="298"/>
      <c r="H6" s="298"/>
      <c r="I6" s="298"/>
      <c r="J6" s="298"/>
      <c r="K6" s="298"/>
      <c r="L6" s="298"/>
      <c r="M6" s="298"/>
      <c r="N6" s="298"/>
    </row>
    <row r="7" ht="22.5" customHeight="1">
      <c r="A7" s="303" t="s">
        <v>127</v>
      </c>
      <c r="B7" s="304" t="s">
        <v>128</v>
      </c>
      <c r="C7" s="304" t="s">
        <v>89</v>
      </c>
      <c r="D7" s="304" t="s">
        <v>129</v>
      </c>
      <c r="E7" s="304" t="s">
        <v>130</v>
      </c>
      <c r="F7" s="304" t="s">
        <v>266</v>
      </c>
      <c r="G7" s="304" t="s">
        <v>81</v>
      </c>
      <c r="H7" s="304" t="s">
        <v>132</v>
      </c>
      <c r="I7" s="301"/>
      <c r="J7" s="301"/>
      <c r="K7" s="301"/>
      <c r="L7" s="301"/>
      <c r="M7" s="301"/>
      <c r="N7" s="301"/>
    </row>
    <row r="8" ht="22.5" customHeight="1">
      <c r="A8" s="305">
        <f>IFERROR(SUMIF(Database!S:S, C5, Database!T:AA), "")
</f>
        <v>95</v>
      </c>
      <c r="B8" s="305">
        <f>IFERROR(SUMIF(Database!S:S, C5, Database!U:AA), "")
</f>
        <v>98</v>
      </c>
      <c r="C8" s="306">
        <f>IFERROR(SUMIF(Database!S:S, C5, Database!V:AA), "")
</f>
        <v>91</v>
      </c>
      <c r="D8" s="305">
        <f>IFERROR(SUMIF(Database!S:S, C5, Database!W:AA), "")
</f>
        <v>93</v>
      </c>
      <c r="E8" s="305">
        <f>IFERROR(SUMIF(Database!S:S, C5, Database!X:AA), "")
</f>
        <v>96</v>
      </c>
      <c r="F8" s="305">
        <f>IFERROR(SUMIF(Database!S:S, C5, Database!Y:AA), "")
</f>
        <v>82</v>
      </c>
      <c r="G8" s="305">
        <f>IFERROR(SUMIF(Database!S:S, C5, Database!Z:AA), "")
</f>
        <v>97</v>
      </c>
      <c r="H8" s="305">
        <f>IFERROR(SUMIF(Database!S:S, C5, Database!AA:AA), "")
</f>
        <v>0</v>
      </c>
      <c r="I8" s="301"/>
      <c r="J8" s="301"/>
      <c r="K8" s="301"/>
      <c r="L8" s="301"/>
      <c r="M8" s="301"/>
      <c r="N8" s="301"/>
    </row>
    <row r="9" ht="15.0" customHeight="1">
      <c r="A9" s="307"/>
      <c r="B9" s="308"/>
      <c r="C9" s="309"/>
      <c r="D9" s="308"/>
      <c r="E9" s="308"/>
      <c r="F9" s="308"/>
      <c r="G9" s="308"/>
      <c r="H9" s="308"/>
      <c r="I9" s="308"/>
      <c r="J9" s="308"/>
      <c r="K9" s="308"/>
      <c r="L9" s="308"/>
      <c r="M9" s="308"/>
      <c r="N9" s="308"/>
    </row>
    <row r="10">
      <c r="A10" s="307"/>
      <c r="B10" s="308"/>
      <c r="C10" s="309"/>
      <c r="D10" s="308"/>
      <c r="E10" s="308"/>
      <c r="F10" s="308"/>
      <c r="G10" s="308"/>
      <c r="H10" s="308"/>
      <c r="I10" s="308"/>
      <c r="J10" s="308"/>
      <c r="K10" s="308"/>
      <c r="L10" s="308"/>
      <c r="M10" s="308"/>
      <c r="N10" s="308"/>
    </row>
    <row r="11">
      <c r="A11" s="310"/>
      <c r="B11" s="310"/>
      <c r="C11" s="310"/>
      <c r="D11" s="310"/>
      <c r="E11" s="310"/>
      <c r="F11" s="310"/>
      <c r="G11" s="310"/>
      <c r="H11" s="310"/>
      <c r="I11" s="310"/>
      <c r="J11" s="310"/>
      <c r="K11" s="310"/>
      <c r="L11" s="310"/>
      <c r="M11" s="310"/>
      <c r="N11" s="310"/>
    </row>
    <row r="12">
      <c r="A12" s="310"/>
      <c r="B12" s="311"/>
      <c r="C12" s="311"/>
      <c r="D12" s="311"/>
      <c r="E12" s="311"/>
      <c r="F12" s="311"/>
      <c r="G12" s="311"/>
      <c r="H12" s="311"/>
      <c r="I12" s="311"/>
      <c r="J12" s="311"/>
      <c r="K12" s="311"/>
      <c r="L12" s="310"/>
      <c r="M12" s="310"/>
      <c r="N12" s="310"/>
    </row>
    <row r="13">
      <c r="A13" s="312"/>
      <c r="B13" s="313"/>
      <c r="C13" s="313"/>
      <c r="D13" s="313"/>
      <c r="E13" s="313"/>
      <c r="F13" s="313"/>
      <c r="G13" s="313"/>
      <c r="H13" s="313"/>
      <c r="I13" s="313"/>
      <c r="J13" s="313"/>
      <c r="K13" s="313"/>
      <c r="L13" s="312"/>
      <c r="M13" s="312"/>
      <c r="N13" s="312"/>
    </row>
    <row r="14">
      <c r="A14" s="312"/>
      <c r="B14" s="313"/>
      <c r="C14" s="313"/>
      <c r="D14" s="313"/>
      <c r="E14" s="313"/>
      <c r="F14" s="313"/>
      <c r="G14" s="313"/>
      <c r="H14" s="313"/>
      <c r="I14" s="313"/>
      <c r="J14" s="313"/>
      <c r="K14" s="313"/>
      <c r="L14" s="312"/>
      <c r="M14" s="312"/>
      <c r="N14" s="312"/>
    </row>
    <row r="15">
      <c r="A15" s="314"/>
      <c r="B15" s="315"/>
      <c r="C15" s="315"/>
      <c r="D15" s="315"/>
      <c r="E15" s="315"/>
      <c r="F15" s="315"/>
      <c r="G15" s="315"/>
      <c r="H15" s="315"/>
      <c r="I15" s="315"/>
      <c r="J15" s="315"/>
      <c r="K15" s="315"/>
      <c r="L15" s="314"/>
      <c r="M15" s="314"/>
      <c r="N15" s="314"/>
    </row>
    <row r="16">
      <c r="A16" s="314"/>
      <c r="B16" s="315"/>
      <c r="C16" s="315"/>
      <c r="D16" s="315"/>
      <c r="E16" s="315"/>
      <c r="F16" s="315"/>
      <c r="G16" s="315"/>
      <c r="H16" s="315"/>
      <c r="I16" s="315"/>
      <c r="J16" s="315"/>
      <c r="K16" s="315"/>
      <c r="L16" s="314"/>
      <c r="M16" s="314"/>
      <c r="N16" s="314"/>
    </row>
    <row r="17">
      <c r="A17" s="316"/>
      <c r="B17" s="317"/>
      <c r="C17" s="317"/>
      <c r="D17" s="317"/>
      <c r="E17" s="317"/>
      <c r="F17" s="317"/>
      <c r="G17" s="317"/>
      <c r="H17" s="317"/>
      <c r="I17" s="317"/>
      <c r="J17" s="317"/>
      <c r="K17" s="317"/>
      <c r="L17" s="316"/>
      <c r="M17" s="316"/>
      <c r="N17" s="316"/>
    </row>
    <row r="18">
      <c r="A18" s="316"/>
      <c r="B18" s="317"/>
      <c r="C18" s="317"/>
      <c r="D18" s="317"/>
      <c r="E18" s="317"/>
      <c r="F18" s="317"/>
      <c r="G18" s="317"/>
      <c r="H18" s="317"/>
      <c r="I18" s="317"/>
      <c r="J18" s="317"/>
      <c r="K18" s="317"/>
      <c r="L18" s="316"/>
      <c r="M18" s="316"/>
      <c r="N18" s="316"/>
    </row>
    <row r="19">
      <c r="A19" s="318"/>
      <c r="B19" s="319"/>
      <c r="C19" s="319"/>
      <c r="D19" s="319"/>
      <c r="E19" s="319"/>
      <c r="F19" s="319"/>
      <c r="G19" s="319"/>
      <c r="H19" s="319"/>
      <c r="I19" s="319"/>
      <c r="J19" s="319"/>
      <c r="K19" s="319"/>
      <c r="L19" s="318"/>
      <c r="M19" s="318"/>
      <c r="N19" s="318"/>
    </row>
    <row r="20">
      <c r="A20" s="318"/>
      <c r="B20" s="319"/>
      <c r="C20" s="319"/>
      <c r="D20" s="319"/>
      <c r="E20" s="319"/>
      <c r="F20" s="319"/>
      <c r="G20" s="319"/>
      <c r="H20" s="319"/>
      <c r="I20" s="319"/>
      <c r="J20" s="319"/>
      <c r="K20" s="319"/>
      <c r="L20" s="318"/>
      <c r="M20" s="318"/>
      <c r="N20" s="318"/>
    </row>
  </sheetData>
  <customSheetViews>
    <customSheetView guid="{15281B65-2443-49A5-8A9F-E52C8AE1D6F8}" filter="1" showAutoFilter="1">
      <autoFilter ref="$C$4:$D$5"/>
    </customSheetView>
  </customSheetViews>
  <conditionalFormatting sqref="A1:H1">
    <cfRule type="colorScale" priority="1">
      <colorScale>
        <cfvo type="formula" val="0"/>
        <cfvo type="formula" val="50"/>
        <cfvo type="formula" val="100"/>
        <color rgb="FF1A1B2F"/>
        <color rgb="FF5F2EEA"/>
        <color rgb="FFB980F0"/>
      </colorScale>
    </cfRule>
  </conditionalFormatting>
  <dataValidations>
    <dataValidation type="list" allowBlank="1" showErrorMessage="1" sqref="C5">
      <formula1>Database!$S$7:$S$60</formula1>
    </dataValidation>
  </dataValidations>
  <hyperlinks>
    <hyperlink display="HOME" location="Home!A1" ref="A1"/>
    <hyperlink display="DASHBOARD" location="Dashboard!A1" ref="B1"/>
    <hyperlink display="ENTRY DATA" location="'Entry Data'!A1" ref="C1"/>
    <hyperlink display="DATA BASE" location="Database!A1" ref="D1"/>
    <hyperlink display="GRAPH" location="Graph!A1" ref="E1"/>
    <hyperlink display="JADWAL" location="'Jadwal Kuliah'!A1" ref="F1"/>
    <hyperlink display="KALENDER" location="'Kalender '!A1" ref="G1"/>
    <hyperlink display="TRACKER" location="'Tracking Matkul'!A1" ref="H1"/>
  </hyperlinks>
  <drawing r:id="rId1"/>
  <tableParts count="2">
    <tablePart r:id="rId4"/>
    <tablePart r:id="rId5"/>
  </tableParts>
</worksheet>
</file>